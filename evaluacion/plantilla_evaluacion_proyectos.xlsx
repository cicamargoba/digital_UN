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ciones" sheetId="1" state="visible" r:id="rId3"/>
    <sheet name="Individual" sheetId="2" state="visible" r:id="rId4"/>
    <sheet name="Resumen" sheetId="3" state="visible" r:id="rId5"/>
    <sheet name="Rubrica" sheetId="4" state="visible" r:id="rId6"/>
    <sheet name="Instruccione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<sst xmlns="http://schemas.openxmlformats.org/spreadsheetml/2006/main" count="94" uniqueCount="83">
  <si>
    <t xml:space="preserve">Evaluaciones comunes — tres entregas / cinco grupos</t>
  </si>
  <si>
    <t xml:space="preserve">Evaluación</t>
  </si>
  <si>
    <t xml:space="preserve">Grupo</t>
  </si>
  <si>
    <t xml:space="preserve">Fecha</t>
  </si>
  <si>
    <t xml:space="preserve">Evaluador</t>
  </si>
  <si>
    <t xml:space="preserve">Entrega / checkpoint</t>
  </si>
  <si>
    <t xml:space="preserve">Repositorio / PR</t>
  </si>
  <si>
    <t xml:space="preserve">C1 — Especificación y restricciones</t>
  </si>
  <si>
    <t xml:space="preserve">C2 — Modelo y arquitectura del sistema</t>
  </si>
  <si>
    <t xml:space="preserve">C3 — Implementación técnica</t>
  </si>
  <si>
    <t xml:space="preserve">C4 — Integración hardware-software</t>
  </si>
  <si>
    <t xml:space="preserve">C5 — Verificación, pruebas y depuración</t>
  </si>
  <si>
    <t xml:space="preserve">C6 — Integración y funcionamiento del sistema</t>
  </si>
  <si>
    <t xml:space="preserve">C7 — Documentación y sustentación técnica</t>
  </si>
  <si>
    <t xml:space="preserve">Puntos equipo / 90</t>
  </si>
  <si>
    <t xml:space="preserve">Evidencia revisada</t>
  </si>
  <si>
    <t xml:space="preserve">Observaciones</t>
  </si>
  <si>
    <t xml:space="preserve">C8 individual — cinco espacios por grupo y evaluación</t>
  </si>
  <si>
    <t xml:space="preserve">Estudiante</t>
  </si>
  <si>
    <t xml:space="preserve">Responsable / usuario</t>
  </si>
  <si>
    <t xml:space="preserve">Issue / PR</t>
  </si>
  <si>
    <t xml:space="preserve">C8 — Planificación, GitHub y responsabilidad individual</t>
  </si>
  <si>
    <t xml:space="preserve">Puntos C8 / 10</t>
  </si>
  <si>
    <t xml:space="preserve">Nota total / 100</t>
  </si>
  <si>
    <t xml:space="preserve">Evidencia</t>
  </si>
  <si>
    <t xml:space="preserve">Resumen de evaluaciones por grupo</t>
  </si>
  <si>
    <t xml:space="preserve">Evaluación 1 / 90</t>
  </si>
  <si>
    <t xml:space="preserve">Evaluación 2 / 90</t>
  </si>
  <si>
    <t xml:space="preserve">Evaluación 3 / 90</t>
  </si>
  <si>
    <t xml:space="preserve">Promedio / 90</t>
  </si>
  <si>
    <t xml:space="preserve">Observaciones generales</t>
  </si>
  <si>
    <t xml:space="preserve">Nota final por estudiante</t>
  </si>
  <si>
    <t xml:space="preserve">Puntos comunes del equipo (máx. 90) + C8 individual (máx. 10).</t>
  </si>
  <si>
    <t xml:space="preserve">Rúbrica de evaluación de proyecto</t>
  </si>
  <si>
    <t xml:space="preserve">Código</t>
  </si>
  <si>
    <t xml:space="preserve">Criterio</t>
  </si>
  <si>
    <t xml:space="preserve">Tipo</t>
  </si>
  <si>
    <t xml:space="preserve">Peso</t>
  </si>
  <si>
    <t xml:space="preserve">Descripción</t>
  </si>
  <si>
    <t xml:space="preserve">C1</t>
  </si>
  <si>
    <t xml:space="preserve">Especificación y restricciones</t>
  </si>
  <si>
    <t xml:space="preserve">Equipo</t>
  </si>
  <si>
    <t xml:space="preserve">Función, interfaces, restricciones y criterios de aceptación.</t>
  </si>
  <si>
    <t xml:space="preserve">C2</t>
  </si>
  <si>
    <t xml:space="preserve">Modelo y arquitectura del sistema</t>
  </si>
  <si>
    <t xml:space="preserve">Bloques, datapath, control, buses y decisiones justificadas.</t>
  </si>
  <si>
    <t xml:space="preserve">C3</t>
  </si>
  <si>
    <t xml:space="preserve">Implementación técnica</t>
  </si>
  <si>
    <t xml:space="preserve">Módulos correctos, sintetizables e integrables.</t>
  </si>
  <si>
    <t xml:space="preserve">C4</t>
  </si>
  <si>
    <t xml:space="preserve">Integración hardware-software</t>
  </si>
  <si>
    <t xml:space="preserve">Firmware, mapa de memoria, CSR y control verificable.</t>
  </si>
  <si>
    <t xml:space="preserve">C5</t>
  </si>
  <si>
    <t xml:space="preserve">Verificación, pruebas y depuración</t>
  </si>
  <si>
    <t xml:space="preserve">Pruebas reproducibles y análisis de resultados.</t>
  </si>
  <si>
    <t xml:space="preserve">C6</t>
  </si>
  <si>
    <t xml:space="preserve">Integración y funcionamiento del sistema</t>
  </si>
  <si>
    <t xml:space="preserve">Operación en la plataforma objetivo dentro del sistema.</t>
  </si>
  <si>
    <t xml:space="preserve">C7</t>
  </si>
  <si>
    <t xml:space="preserve">Documentación y sustentación técnica</t>
  </si>
  <si>
    <t xml:space="preserve">Reconstrucción, evidencia y comunicación técnica.</t>
  </si>
  <si>
    <t xml:space="preserve">C8</t>
  </si>
  <si>
    <t xml:space="preserve">Planificación, GitHub y responsabilidad individual</t>
  </si>
  <si>
    <t xml:space="preserve">Individual</t>
  </si>
  <si>
    <t xml:space="preserve">Tareas, contribuciones y trazabilidad individual.</t>
  </si>
  <si>
    <t xml:space="preserve">Nivel</t>
  </si>
  <si>
    <t xml:space="preserve">Desempeño</t>
  </si>
  <si>
    <t xml:space="preserve">Factor</t>
  </si>
  <si>
    <t xml:space="preserve">Completo</t>
  </si>
  <si>
    <t xml:space="preserve">Aceptable</t>
  </si>
  <si>
    <t xml:space="preserve">Insuficiente</t>
  </si>
  <si>
    <t xml:space="preserve">Sin evidencia válida</t>
  </si>
  <si>
    <t xml:space="preserve">Instrucciones de uso</t>
  </si>
  <si>
    <t xml:space="preserve">1. Suba el archivo a Google Drive y ábralo con Google Sheets.</t>
  </si>
  <si>
    <t xml:space="preserve">2. Mantenga el acceso general como Restringido y a Carlos Camargo como único Editor.</t>
  </si>
  <si>
    <t xml:space="preserve">3. Registre los niveles C1–C7 de cada grupo en Evaluaciones.</t>
  </si>
  <si>
    <t xml:space="preserve">4. Use solamente 1, 2, 3 o 4; las fórmulas calculan los puntos.</t>
  </si>
  <si>
    <t xml:space="preserve">5. Registre C8 por estudiante en Individual; hay cinco espacios por grupo.</t>
  </si>
  <si>
    <t xml:space="preserve">6. Vincule repositorios, issues, pull requests y evidencia.</t>
  </si>
  <si>
    <t xml:space="preserve">7. Nota del estudiante = puntos comunes del equipo (máx. 90) + C8 (máx. 10).</t>
  </si>
  <si>
    <t xml:space="preserve">8. Para recibir datos sin dar acceso de edición, utilice Google Forms.</t>
  </si>
  <si>
    <t xml:space="preserve">9. Los permisos de Google Drive no se guardan dentro del archivo XLSX.</t>
  </si>
  <si>
    <t xml:space="preserve">Escala: 4 = Completo; 3 = Aceptable; 2 = Insuficiente; 1 = Sin evidencia válida.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</si>
</sst>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19"/>
    <col collapsed="false" customWidth="true" hidden="false" outlineLevel="0" max="2" min="2" style="1" width="7.16"/>
    <col collapsed="false" customWidth="true" hidden="false" outlineLevel="0" max="3" min="3" style="1" width="12.26"/>
    <col collapsed="false" customWidth="true" hidden="false" outlineLevel="0" max="4" min="4" style="1" width="15.32"/>
    <col collapsed="false" customWidth="true" hidden="false" outlineLevel="0" max="5" min="5" style="1" width="21.45"/>
    <col collapsed="false" customWidth="true" hidden="false" outlineLevel="0" max="6" min="6" style="1" width="28.09"/>
    <col collapsed="false" customWidth="true" hidden="false" outlineLevel="0" max="13" min="7" style="1" width="21.96"/>
    <col collapsed="false" customWidth="true" hidden="false" outlineLevel="0" max="14" min="14" style="1" width="13.28"/>
    <col collapsed="false" customWidth="true" hidden="false" outlineLevel="0" max="16" min="15" style="1" width="35.76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51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customFormat="false" ht="12.8" hidden="false" customHeight="false" outlineLevel="0" collapsed="false">
      <c r="A3" s="4" t="n">
        <v>1</v>
      </c>
      <c r="B3" s="4" t="n">
        <v>1</v>
      </c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6" t="n">
        <f aca="false">IF(G3=4,10,IF(G3=3,7,IF(G3=2,4,0)))+IF(H3=4,15,IF(H3=3,10.5,IF(H3=2,6,0)))+IF(I3=4,20,IF(I3=3,14,IF(I3=2,8,0)))+IF(J3=4,10,IF(J3=3,7,IF(J3=2,4,0)))+IF(K3=4,15,IF(K3=3,10.5,IF(K3=2,6,0)))+IF(L3=4,10,IF(L3=3,7,IF(L3=2,4,0)))+IF(M3=4,10,IF(M3=3,7,IF(M3=2,4,0)))</f>
        <v>0</v>
      </c>
      <c r="O3" s="4"/>
      <c r="P3" s="4"/>
    </row>
    <row r="4" customFormat="false" ht="12.8" hidden="false" customHeight="false" outlineLevel="0" collapsed="false">
      <c r="A4" s="4" t="n">
        <v>1</v>
      </c>
      <c r="B4" s="4" t="n">
        <v>2</v>
      </c>
      <c r="C4" s="4"/>
      <c r="D4" s="4"/>
      <c r="E4" s="4"/>
      <c r="F4" s="4"/>
      <c r="G4" s="5"/>
      <c r="H4" s="5"/>
      <c r="I4" s="5"/>
      <c r="J4" s="5"/>
      <c r="K4" s="5"/>
      <c r="L4" s="5"/>
      <c r="M4" s="5"/>
      <c r="N4" s="6" t="n">
        <f aca="false">IF(G4=4,10,IF(G4=3,7,IF(G4=2,4,0)))+IF(H4=4,15,IF(H4=3,10.5,IF(H4=2,6,0)))+IF(I4=4,20,IF(I4=3,14,IF(I4=2,8,0)))+IF(J4=4,10,IF(J4=3,7,IF(J4=2,4,0)))+IF(K4=4,15,IF(K4=3,10.5,IF(K4=2,6,0)))+IF(L4=4,10,IF(L4=3,7,IF(L4=2,4,0)))+IF(M4=4,10,IF(M4=3,7,IF(M4=2,4,0)))</f>
        <v>0</v>
      </c>
      <c r="O4" s="4"/>
      <c r="P4" s="4"/>
    </row>
    <row r="5" customFormat="false" ht="12.8" hidden="false" customHeight="false" outlineLevel="0" collapsed="false">
      <c r="A5" s="4" t="n">
        <v>1</v>
      </c>
      <c r="B5" s="4" t="n">
        <v>3</v>
      </c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6" t="n">
        <f aca="false">IF(G5=4,10,IF(G5=3,7,IF(G5=2,4,0)))+IF(H5=4,15,IF(H5=3,10.5,IF(H5=2,6,0)))+IF(I5=4,20,IF(I5=3,14,IF(I5=2,8,0)))+IF(J5=4,10,IF(J5=3,7,IF(J5=2,4,0)))+IF(K5=4,15,IF(K5=3,10.5,IF(K5=2,6,0)))+IF(L5=4,10,IF(L5=3,7,IF(L5=2,4,0)))+IF(M5=4,10,IF(M5=3,7,IF(M5=2,4,0)))</f>
        <v>0</v>
      </c>
      <c r="O5" s="4"/>
      <c r="P5" s="4"/>
    </row>
    <row r="6" customFormat="false" ht="12.8" hidden="false" customHeight="false" outlineLevel="0" collapsed="false">
      <c r="A6" s="4" t="n">
        <v>1</v>
      </c>
      <c r="B6" s="4" t="n">
        <v>4</v>
      </c>
      <c r="C6" s="4"/>
      <c r="D6" s="4"/>
      <c r="E6" s="4"/>
      <c r="F6" s="4"/>
      <c r="G6" s="5"/>
      <c r="H6" s="5"/>
      <c r="I6" s="5"/>
      <c r="J6" s="5"/>
      <c r="K6" s="5"/>
      <c r="L6" s="5"/>
      <c r="M6" s="5"/>
      <c r="N6" s="6" t="n">
        <f aca="false">IF(G6=4,10,IF(G6=3,7,IF(G6=2,4,0)))+IF(H6=4,15,IF(H6=3,10.5,IF(H6=2,6,0)))+IF(I6=4,20,IF(I6=3,14,IF(I6=2,8,0)))+IF(J6=4,10,IF(J6=3,7,IF(J6=2,4,0)))+IF(K6=4,15,IF(K6=3,10.5,IF(K6=2,6,0)))+IF(L6=4,10,IF(L6=3,7,IF(L6=2,4,0)))+IF(M6=4,10,IF(M6=3,7,IF(M6=2,4,0)))</f>
        <v>0</v>
      </c>
      <c r="O6" s="4"/>
      <c r="P6" s="4"/>
    </row>
    <row r="7" customFormat="false" ht="12.8" hidden="false" customHeight="false" outlineLevel="0" collapsed="false">
      <c r="A7" s="4" t="n">
        <v>1</v>
      </c>
      <c r="B7" s="4" t="n">
        <v>5</v>
      </c>
      <c r="C7" s="4"/>
      <c r="D7" s="4"/>
      <c r="E7" s="4"/>
      <c r="F7" s="4"/>
      <c r="G7" s="5"/>
      <c r="H7" s="5"/>
      <c r="I7" s="5"/>
      <c r="J7" s="5"/>
      <c r="K7" s="5"/>
      <c r="L7" s="5"/>
      <c r="M7" s="5"/>
      <c r="N7" s="6" t="n">
        <f aca="false">IF(G7=4,10,IF(G7=3,7,IF(G7=2,4,0)))+IF(H7=4,15,IF(H7=3,10.5,IF(H7=2,6,0)))+IF(I7=4,20,IF(I7=3,14,IF(I7=2,8,0)))+IF(J7=4,10,IF(J7=3,7,IF(J7=2,4,0)))+IF(K7=4,15,IF(K7=3,10.5,IF(K7=2,6,0)))+IF(L7=4,10,IF(L7=3,7,IF(L7=2,4,0)))+IF(M7=4,10,IF(M7=3,7,IF(M7=2,4,0)))</f>
        <v>0</v>
      </c>
      <c r="O7" s="4"/>
      <c r="P7" s="4"/>
    </row>
    <row r="8" customFormat="false" ht="12.8" hidden="false" customHeight="false" outlineLevel="0" collapsed="false">
      <c r="A8" s="4" t="n">
        <v>2</v>
      </c>
      <c r="B8" s="4" t="n">
        <v>1</v>
      </c>
      <c r="C8" s="4"/>
      <c r="D8" s="4"/>
      <c r="E8" s="4"/>
      <c r="F8" s="4"/>
      <c r="G8" s="5"/>
      <c r="H8" s="5"/>
      <c r="I8" s="5"/>
      <c r="J8" s="5"/>
      <c r="K8" s="5"/>
      <c r="L8" s="5"/>
      <c r="M8" s="5"/>
      <c r="N8" s="6" t="n">
        <f aca="false">IF(G8=4,10,IF(G8=3,7,IF(G8=2,4,0)))+IF(H8=4,15,IF(H8=3,10.5,IF(H8=2,6,0)))+IF(I8=4,20,IF(I8=3,14,IF(I8=2,8,0)))+IF(J8=4,10,IF(J8=3,7,IF(J8=2,4,0)))+IF(K8=4,15,IF(K8=3,10.5,IF(K8=2,6,0)))+IF(L8=4,10,IF(L8=3,7,IF(L8=2,4,0)))+IF(M8=4,10,IF(M8=3,7,IF(M8=2,4,0)))</f>
        <v>0</v>
      </c>
      <c r="O8" s="4"/>
      <c r="P8" s="4"/>
    </row>
    <row r="9" customFormat="false" ht="12.8" hidden="false" customHeight="false" outlineLevel="0" collapsed="false">
      <c r="A9" s="4" t="n">
        <v>2</v>
      </c>
      <c r="B9" s="4" t="n">
        <v>2</v>
      </c>
      <c r="C9" s="4"/>
      <c r="D9" s="4"/>
      <c r="E9" s="4"/>
      <c r="F9" s="4"/>
      <c r="G9" s="5"/>
      <c r="H9" s="5"/>
      <c r="I9" s="5"/>
      <c r="J9" s="5"/>
      <c r="K9" s="5"/>
      <c r="L9" s="5"/>
      <c r="M9" s="5"/>
      <c r="N9" s="6" t="n">
        <f aca="false">IF(G9=4,10,IF(G9=3,7,IF(G9=2,4,0)))+IF(H9=4,15,IF(H9=3,10.5,IF(H9=2,6,0)))+IF(I9=4,20,IF(I9=3,14,IF(I9=2,8,0)))+IF(J9=4,10,IF(J9=3,7,IF(J9=2,4,0)))+IF(K9=4,15,IF(K9=3,10.5,IF(K9=2,6,0)))+IF(L9=4,10,IF(L9=3,7,IF(L9=2,4,0)))+IF(M9=4,10,IF(M9=3,7,IF(M9=2,4,0)))</f>
        <v>0</v>
      </c>
      <c r="O9" s="4"/>
      <c r="P9" s="4"/>
    </row>
    <row r="10" customFormat="false" ht="12.8" hidden="false" customHeight="false" outlineLevel="0" collapsed="false">
      <c r="A10" s="4" t="n">
        <v>2</v>
      </c>
      <c r="B10" s="4" t="n">
        <v>3</v>
      </c>
      <c r="C10" s="4"/>
      <c r="D10" s="4"/>
      <c r="E10" s="4"/>
      <c r="F10" s="4"/>
      <c r="G10" s="5"/>
      <c r="H10" s="5"/>
      <c r="I10" s="5"/>
      <c r="J10" s="5"/>
      <c r="K10" s="5"/>
      <c r="L10" s="5"/>
      <c r="M10" s="5"/>
      <c r="N10" s="6" t="n">
        <f aca="false">IF(G10=4,10,IF(G10=3,7,IF(G10=2,4,0)))+IF(H10=4,15,IF(H10=3,10.5,IF(H10=2,6,0)))+IF(I10=4,20,IF(I10=3,14,IF(I10=2,8,0)))+IF(J10=4,10,IF(J10=3,7,IF(J10=2,4,0)))+IF(K10=4,15,IF(K10=3,10.5,IF(K10=2,6,0)))+IF(L10=4,10,IF(L10=3,7,IF(L10=2,4,0)))+IF(M10=4,10,IF(M10=3,7,IF(M10=2,4,0)))</f>
        <v>0</v>
      </c>
      <c r="O10" s="4"/>
      <c r="P10" s="4"/>
    </row>
    <row r="11" customFormat="false" ht="12.8" hidden="false" customHeight="false" outlineLevel="0" collapsed="false">
      <c r="A11" s="4" t="n">
        <v>2</v>
      </c>
      <c r="B11" s="4" t="n">
        <v>4</v>
      </c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6" t="n">
        <f aca="false">IF(G11=4,10,IF(G11=3,7,IF(G11=2,4,0)))+IF(H11=4,15,IF(H11=3,10.5,IF(H11=2,6,0)))+IF(I11=4,20,IF(I11=3,14,IF(I11=2,8,0)))+IF(J11=4,10,IF(J11=3,7,IF(J11=2,4,0)))+IF(K11=4,15,IF(K11=3,10.5,IF(K11=2,6,0)))+IF(L11=4,10,IF(L11=3,7,IF(L11=2,4,0)))+IF(M11=4,10,IF(M11=3,7,IF(M11=2,4,0)))</f>
        <v>0</v>
      </c>
      <c r="O11" s="4"/>
      <c r="P11" s="4"/>
    </row>
    <row r="12" customFormat="false" ht="12.8" hidden="false" customHeight="false" outlineLevel="0" collapsed="false">
      <c r="A12" s="4" t="n">
        <v>2</v>
      </c>
      <c r="B12" s="4" t="n">
        <v>5</v>
      </c>
      <c r="C12" s="4"/>
      <c r="D12" s="4"/>
      <c r="E12" s="4"/>
      <c r="F12" s="4"/>
      <c r="G12" s="5"/>
      <c r="H12" s="5"/>
      <c r="I12" s="5"/>
      <c r="J12" s="5"/>
      <c r="K12" s="5"/>
      <c r="L12" s="5"/>
      <c r="M12" s="5"/>
      <c r="N12" s="6" t="n">
        <f aca="false">IF(G12=4,10,IF(G12=3,7,IF(G12=2,4,0)))+IF(H12=4,15,IF(H12=3,10.5,IF(H12=2,6,0)))+IF(I12=4,20,IF(I12=3,14,IF(I12=2,8,0)))+IF(J12=4,10,IF(J12=3,7,IF(J12=2,4,0)))+IF(K12=4,15,IF(K12=3,10.5,IF(K12=2,6,0)))+IF(L12=4,10,IF(L12=3,7,IF(L12=2,4,0)))+IF(M12=4,10,IF(M12=3,7,IF(M12=2,4,0)))</f>
        <v>0</v>
      </c>
      <c r="O12" s="4"/>
      <c r="P12" s="4"/>
    </row>
    <row r="13" customFormat="false" ht="12.8" hidden="false" customHeight="false" outlineLevel="0" collapsed="false">
      <c r="A13" s="4" t="n">
        <v>3</v>
      </c>
      <c r="B13" s="4" t="n">
        <v>1</v>
      </c>
      <c r="C13" s="4"/>
      <c r="D13" s="4"/>
      <c r="E13" s="4"/>
      <c r="F13" s="4"/>
      <c r="G13" s="5"/>
      <c r="H13" s="5"/>
      <c r="I13" s="5"/>
      <c r="J13" s="5"/>
      <c r="K13" s="5"/>
      <c r="L13" s="5"/>
      <c r="M13" s="5"/>
      <c r="N13" s="6" t="n">
        <f aca="false">IF(G13=4,10,IF(G13=3,7,IF(G13=2,4,0)))+IF(H13=4,15,IF(H13=3,10.5,IF(H13=2,6,0)))+IF(I13=4,20,IF(I13=3,14,IF(I13=2,8,0)))+IF(J13=4,10,IF(J13=3,7,IF(J13=2,4,0)))+IF(K13=4,15,IF(K13=3,10.5,IF(K13=2,6,0)))+IF(L13=4,10,IF(L13=3,7,IF(L13=2,4,0)))+IF(M13=4,10,IF(M13=3,7,IF(M13=2,4,0)))</f>
        <v>0</v>
      </c>
      <c r="O13" s="4"/>
      <c r="P13" s="4"/>
    </row>
    <row r="14" customFormat="false" ht="12.8" hidden="false" customHeight="false" outlineLevel="0" collapsed="false">
      <c r="A14" s="4" t="n">
        <v>3</v>
      </c>
      <c r="B14" s="4" t="n">
        <v>2</v>
      </c>
      <c r="C14" s="4"/>
      <c r="D14" s="4"/>
      <c r="E14" s="4"/>
      <c r="F14" s="4"/>
      <c r="G14" s="5"/>
      <c r="H14" s="5"/>
      <c r="I14" s="5"/>
      <c r="J14" s="5"/>
      <c r="K14" s="5"/>
      <c r="L14" s="5"/>
      <c r="M14" s="5"/>
      <c r="N14" s="6" t="n">
        <f aca="false">IF(G14=4,10,IF(G14=3,7,IF(G14=2,4,0)))+IF(H14=4,15,IF(H14=3,10.5,IF(H14=2,6,0)))+IF(I14=4,20,IF(I14=3,14,IF(I14=2,8,0)))+IF(J14=4,10,IF(J14=3,7,IF(J14=2,4,0)))+IF(K14=4,15,IF(K14=3,10.5,IF(K14=2,6,0)))+IF(L14=4,10,IF(L14=3,7,IF(L14=2,4,0)))+IF(M14=4,10,IF(M14=3,7,IF(M14=2,4,0)))</f>
        <v>0</v>
      </c>
      <c r="O14" s="4"/>
      <c r="P14" s="4"/>
    </row>
    <row r="15" customFormat="false" ht="12.8" hidden="false" customHeight="false" outlineLevel="0" collapsed="false">
      <c r="A15" s="4" t="n">
        <v>3</v>
      </c>
      <c r="B15" s="4" t="n">
        <v>3</v>
      </c>
      <c r="C15" s="4"/>
      <c r="D15" s="4"/>
      <c r="E15" s="4"/>
      <c r="F15" s="4"/>
      <c r="G15" s="5"/>
      <c r="H15" s="5"/>
      <c r="I15" s="5"/>
      <c r="J15" s="5"/>
      <c r="K15" s="5"/>
      <c r="L15" s="5"/>
      <c r="M15" s="5"/>
      <c r="N15" s="6" t="n">
        <f aca="false">IF(G15=4,10,IF(G15=3,7,IF(G15=2,4,0)))+IF(H15=4,15,IF(H15=3,10.5,IF(H15=2,6,0)))+IF(I15=4,20,IF(I15=3,14,IF(I15=2,8,0)))+IF(J15=4,10,IF(J15=3,7,IF(J15=2,4,0)))+IF(K15=4,15,IF(K15=3,10.5,IF(K15=2,6,0)))+IF(L15=4,10,IF(L15=3,7,IF(L15=2,4,0)))+IF(M15=4,10,IF(M15=3,7,IF(M15=2,4,0)))</f>
        <v>0</v>
      </c>
      <c r="O15" s="4"/>
      <c r="P15" s="4"/>
    </row>
    <row r="16" customFormat="false" ht="12.8" hidden="false" customHeight="false" outlineLevel="0" collapsed="false">
      <c r="A16" s="4" t="n">
        <v>3</v>
      </c>
      <c r="B16" s="4" t="n">
        <v>4</v>
      </c>
      <c r="C16" s="4"/>
      <c r="D16" s="4"/>
      <c r="E16" s="4"/>
      <c r="F16" s="4"/>
      <c r="G16" s="5"/>
      <c r="H16" s="5"/>
      <c r="I16" s="5"/>
      <c r="J16" s="5"/>
      <c r="K16" s="5"/>
      <c r="L16" s="5"/>
      <c r="M16" s="5"/>
      <c r="N16" s="6" t="n">
        <f aca="false">IF(G16=4,10,IF(G16=3,7,IF(G16=2,4,0)))+IF(H16=4,15,IF(H16=3,10.5,IF(H16=2,6,0)))+IF(I16=4,20,IF(I16=3,14,IF(I16=2,8,0)))+IF(J16=4,10,IF(J16=3,7,IF(J16=2,4,0)))+IF(K16=4,15,IF(K16=3,10.5,IF(K16=2,6,0)))+IF(L16=4,10,IF(L16=3,7,IF(L16=2,4,0)))+IF(M16=4,10,IF(M16=3,7,IF(M16=2,4,0)))</f>
        <v>0</v>
      </c>
      <c r="O16" s="4"/>
      <c r="P16" s="4"/>
    </row>
    <row r="17" customFormat="false" ht="12.8" hidden="false" customHeight="false" outlineLevel="0" collapsed="false">
      <c r="A17" s="1" t="n">
        <v>3</v>
      </c>
      <c r="B17" s="1" t="n">
        <v>5</v>
      </c>
      <c r="G17" s="7"/>
      <c r="H17" s="7"/>
      <c r="I17" s="7"/>
      <c r="J17" s="7"/>
      <c r="K17" s="7"/>
      <c r="L17" s="7"/>
      <c r="M17" s="7"/>
      <c r="N17" s="8" t="n">
        <f aca="false">IF(G17=4,10,IF(G17=3,7,IF(G17=2,4,0)))+IF(H17=4,15,IF(H17=3,10.5,IF(H17=2,6,0)))+IF(I17=4,20,IF(I17=3,14,IF(I17=2,8,0)))+IF(J17=4,10,IF(J17=3,7,IF(J17=2,4,0)))+IF(K17=4,15,IF(K17=3,10.5,IF(K17=2,6,0)))+IF(L17=4,10,IF(L17=3,7,IF(L17=2,4,0)))+IF(M17=4,10,IF(M17=3,7,IF(M17=2,4,0)))</f>
        <v>0</v>
      </c>
    </row>
  </sheetData>
  <mergeCells count="1">
    <mergeCell ref="A1:P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19"/>
    <col collapsed="false" customWidth="true" hidden="false" outlineLevel="0" max="2" min="2" style="1" width="7.16"/>
    <col collapsed="false" customWidth="true" hidden="false" outlineLevel="0" max="3" min="3" style="1" width="20.43"/>
    <col collapsed="false" customWidth="true" hidden="false" outlineLevel="0" max="4" min="4" style="1" width="19.4"/>
    <col collapsed="false" customWidth="true" hidden="false" outlineLevel="0" max="5" min="5" style="1" width="15.32"/>
    <col collapsed="false" customWidth="true" hidden="false" outlineLevel="0" max="7" min="6" style="1" width="26.56"/>
    <col collapsed="false" customWidth="true" hidden="false" outlineLevel="0" max="8" min="8" style="1" width="11.75"/>
    <col collapsed="false" customWidth="true" hidden="false" outlineLevel="0" max="9" min="9" style="1" width="12.26"/>
    <col collapsed="false" customWidth="true" hidden="false" outlineLevel="0" max="11" min="10" style="1" width="35.76"/>
  </cols>
  <sheetData>
    <row r="1" customFormat="false" ht="25.5" hidden="false" customHeight="true" outlineLevel="0" collapsed="false">
      <c r="A1" s="2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51" hidden="false" customHeight="true" outlineLevel="0" collapsed="false">
      <c r="A2" s="3" t="s">
        <v>1</v>
      </c>
      <c r="B2" s="3" t="s">
        <v>2</v>
      </c>
      <c r="C2" s="3" t="s">
        <v>18</v>
      </c>
      <c r="D2" s="3" t="s">
        <v>19</v>
      </c>
      <c r="E2" s="3" t="s">
        <v>4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16</v>
      </c>
    </row>
    <row r="3" customFormat="false" ht="12.8" hidden="false" customHeight="false" outlineLevel="0" collapsed="false">
      <c r="A3" s="4" t="n">
        <v>1</v>
      </c>
      <c r="B3" s="4" t="n">
        <v>1</v>
      </c>
      <c r="C3" s="4"/>
      <c r="D3" s="4"/>
      <c r="E3" s="4"/>
      <c r="F3" s="4"/>
      <c r="G3" s="5"/>
      <c r="H3" s="6" t="n">
        <f aca="false">IF(G3=4,10,IF(G3=3,7,IF(G3=2,4,0)))</f>
        <v>0</v>
      </c>
      <c r="I3" s="6" t="n">
        <f aca="false">INDEX(Evaluaciones!$N$3:$N$17,(A3-1)*5+B3)+H3</f>
        <v>0</v>
      </c>
      <c r="J3" s="4"/>
      <c r="K3" s="4"/>
    </row>
    <row r="4" customFormat="false" ht="12.8" hidden="false" customHeight="false" outlineLevel="0" collapsed="false">
      <c r="A4" s="4" t="n">
        <v>1</v>
      </c>
      <c r="B4" s="4" t="n">
        <v>1</v>
      </c>
      <c r="C4" s="4"/>
      <c r="D4" s="4"/>
      <c r="E4" s="4"/>
      <c r="F4" s="4"/>
      <c r="G4" s="5"/>
      <c r="H4" s="6" t="n">
        <f aca="false">IF(G4=4,10,IF(G4=3,7,IF(G4=2,4,0)))</f>
        <v>0</v>
      </c>
      <c r="I4" s="6" t="n">
        <f aca="false">INDEX(Evaluaciones!$N$3:$N$17,(A4-1)*5+B4)+H4</f>
        <v>0</v>
      </c>
      <c r="J4" s="4"/>
      <c r="K4" s="4"/>
    </row>
    <row r="5" customFormat="false" ht="12.8" hidden="false" customHeight="false" outlineLevel="0" collapsed="false">
      <c r="A5" s="4" t="n">
        <v>1</v>
      </c>
      <c r="B5" s="4" t="n">
        <v>1</v>
      </c>
      <c r="C5" s="4"/>
      <c r="D5" s="4"/>
      <c r="E5" s="4"/>
      <c r="F5" s="4"/>
      <c r="G5" s="5"/>
      <c r="H5" s="6" t="n">
        <f aca="false">IF(G5=4,10,IF(G5=3,7,IF(G5=2,4,0)))</f>
        <v>0</v>
      </c>
      <c r="I5" s="6" t="n">
        <f aca="false">INDEX(Evaluaciones!$N$3:$N$17,(A5-1)*5+B5)+H5</f>
        <v>0</v>
      </c>
      <c r="J5" s="4"/>
      <c r="K5" s="4"/>
    </row>
    <row r="6" customFormat="false" ht="12.8" hidden="false" customHeight="false" outlineLevel="0" collapsed="false">
      <c r="A6" s="4" t="n">
        <v>1</v>
      </c>
      <c r="B6" s="4" t="n">
        <v>1</v>
      </c>
      <c r="C6" s="4"/>
      <c r="D6" s="4"/>
      <c r="E6" s="4"/>
      <c r="F6" s="4"/>
      <c r="G6" s="5"/>
      <c r="H6" s="6" t="n">
        <f aca="false">IF(G6=4,10,IF(G6=3,7,IF(G6=2,4,0)))</f>
        <v>0</v>
      </c>
      <c r="I6" s="6" t="n">
        <f aca="false">INDEX(Evaluaciones!$N$3:$N$17,(A6-1)*5+B6)+H6</f>
        <v>0</v>
      </c>
      <c r="J6" s="4"/>
      <c r="K6" s="4"/>
    </row>
    <row r="7" customFormat="false" ht="12.8" hidden="false" customHeight="false" outlineLevel="0" collapsed="false">
      <c r="A7" s="4" t="n">
        <v>1</v>
      </c>
      <c r="B7" s="4" t="n">
        <v>1</v>
      </c>
      <c r="C7" s="4"/>
      <c r="D7" s="4"/>
      <c r="E7" s="4"/>
      <c r="F7" s="4"/>
      <c r="G7" s="5"/>
      <c r="H7" s="6" t="n">
        <f aca="false">IF(G7=4,10,IF(G7=3,7,IF(G7=2,4,0)))</f>
        <v>0</v>
      </c>
      <c r="I7" s="6" t="n">
        <f aca="false">INDEX(Evaluaciones!$N$3:$N$17,(A7-1)*5+B7)+H7</f>
        <v>0</v>
      </c>
      <c r="J7" s="4"/>
      <c r="K7" s="4"/>
    </row>
    <row r="8" customFormat="false" ht="12.8" hidden="false" customHeight="false" outlineLevel="0" collapsed="false">
      <c r="A8" s="4" t="n">
        <v>1</v>
      </c>
      <c r="B8" s="4" t="n">
        <v>2</v>
      </c>
      <c r="C8" s="4"/>
      <c r="D8" s="4"/>
      <c r="E8" s="4"/>
      <c r="F8" s="4"/>
      <c r="G8" s="5"/>
      <c r="H8" s="6" t="n">
        <f aca="false">IF(G8=4,10,IF(G8=3,7,IF(G8=2,4,0)))</f>
        <v>0</v>
      </c>
      <c r="I8" s="6" t="n">
        <f aca="false">INDEX(Evaluaciones!$N$3:$N$17,(A8-1)*5+B8)+H8</f>
        <v>0</v>
      </c>
      <c r="J8" s="4"/>
      <c r="K8" s="4"/>
    </row>
    <row r="9" customFormat="false" ht="12.8" hidden="false" customHeight="false" outlineLevel="0" collapsed="false">
      <c r="A9" s="4" t="n">
        <v>1</v>
      </c>
      <c r="B9" s="4" t="n">
        <v>2</v>
      </c>
      <c r="C9" s="4"/>
      <c r="D9" s="4"/>
      <c r="E9" s="4"/>
      <c r="F9" s="4"/>
      <c r="G9" s="5"/>
      <c r="H9" s="6" t="n">
        <f aca="false">IF(G9=4,10,IF(G9=3,7,IF(G9=2,4,0)))</f>
        <v>0</v>
      </c>
      <c r="I9" s="6" t="n">
        <f aca="false">INDEX(Evaluaciones!$N$3:$N$17,(A9-1)*5+B9)+H9</f>
        <v>0</v>
      </c>
      <c r="J9" s="4"/>
      <c r="K9" s="4"/>
    </row>
    <row r="10" customFormat="false" ht="12.8" hidden="false" customHeight="false" outlineLevel="0" collapsed="false">
      <c r="A10" s="4" t="n">
        <v>1</v>
      </c>
      <c r="B10" s="4" t="n">
        <v>2</v>
      </c>
      <c r="C10" s="4"/>
      <c r="D10" s="4"/>
      <c r="E10" s="4"/>
      <c r="F10" s="4"/>
      <c r="G10" s="5"/>
      <c r="H10" s="6" t="n">
        <f aca="false">IF(G10=4,10,IF(G10=3,7,IF(G10=2,4,0)))</f>
        <v>0</v>
      </c>
      <c r="I10" s="6" t="n">
        <f aca="false">INDEX(Evaluaciones!$N$3:$N$17,(A10-1)*5+B10)+H10</f>
        <v>0</v>
      </c>
      <c r="J10" s="4"/>
      <c r="K10" s="4"/>
    </row>
    <row r="11" customFormat="false" ht="12.8" hidden="false" customHeight="false" outlineLevel="0" collapsed="false">
      <c r="A11" s="4" t="n">
        <v>1</v>
      </c>
      <c r="B11" s="4" t="n">
        <v>2</v>
      </c>
      <c r="C11" s="4"/>
      <c r="D11" s="4"/>
      <c r="E11" s="4"/>
      <c r="F11" s="4"/>
      <c r="G11" s="5"/>
      <c r="H11" s="6" t="n">
        <f aca="false">IF(G11=4,10,IF(G11=3,7,IF(G11=2,4,0)))</f>
        <v>0</v>
      </c>
      <c r="I11" s="6" t="n">
        <f aca="false">INDEX(Evaluaciones!$N$3:$N$17,(A11-1)*5+B11)+H11</f>
        <v>0</v>
      </c>
      <c r="J11" s="4"/>
      <c r="K11" s="4"/>
    </row>
    <row r="12" customFormat="false" ht="12.8" hidden="false" customHeight="false" outlineLevel="0" collapsed="false">
      <c r="A12" s="4" t="n">
        <v>1</v>
      </c>
      <c r="B12" s="4" t="n">
        <v>2</v>
      </c>
      <c r="C12" s="4"/>
      <c r="D12" s="4"/>
      <c r="E12" s="4"/>
      <c r="F12" s="4"/>
      <c r="G12" s="5"/>
      <c r="H12" s="6" t="n">
        <f aca="false">IF(G12=4,10,IF(G12=3,7,IF(G12=2,4,0)))</f>
        <v>0</v>
      </c>
      <c r="I12" s="6" t="n">
        <f aca="false">INDEX(Evaluaciones!$N$3:$N$17,(A12-1)*5+B12)+H12</f>
        <v>0</v>
      </c>
      <c r="J12" s="4"/>
      <c r="K12" s="4"/>
    </row>
    <row r="13" customFormat="false" ht="12.8" hidden="false" customHeight="false" outlineLevel="0" collapsed="false">
      <c r="A13" s="4" t="n">
        <v>1</v>
      </c>
      <c r="B13" s="4" t="n">
        <v>3</v>
      </c>
      <c r="C13" s="4"/>
      <c r="D13" s="4"/>
      <c r="E13" s="4"/>
      <c r="F13" s="4"/>
      <c r="G13" s="5"/>
      <c r="H13" s="6" t="n">
        <f aca="false">IF(G13=4,10,IF(G13=3,7,IF(G13=2,4,0)))</f>
        <v>0</v>
      </c>
      <c r="I13" s="6" t="n">
        <f aca="false">INDEX(Evaluaciones!$N$3:$N$17,(A13-1)*5+B13)+H13</f>
        <v>0</v>
      </c>
      <c r="J13" s="4"/>
      <c r="K13" s="4"/>
    </row>
    <row r="14" customFormat="false" ht="12.8" hidden="false" customHeight="false" outlineLevel="0" collapsed="false">
      <c r="A14" s="4" t="n">
        <v>1</v>
      </c>
      <c r="B14" s="4" t="n">
        <v>3</v>
      </c>
      <c r="C14" s="4"/>
      <c r="D14" s="4"/>
      <c r="E14" s="4"/>
      <c r="F14" s="4"/>
      <c r="G14" s="5"/>
      <c r="H14" s="6" t="n">
        <f aca="false">IF(G14=4,10,IF(G14=3,7,IF(G14=2,4,0)))</f>
        <v>0</v>
      </c>
      <c r="I14" s="6" t="n">
        <f aca="false">INDEX(Evaluaciones!$N$3:$N$17,(A14-1)*5+B14)+H14</f>
        <v>0</v>
      </c>
      <c r="J14" s="4"/>
      <c r="K14" s="4"/>
    </row>
    <row r="15" customFormat="false" ht="12.8" hidden="false" customHeight="false" outlineLevel="0" collapsed="false">
      <c r="A15" s="4" t="n">
        <v>1</v>
      </c>
      <c r="B15" s="4" t="n">
        <v>3</v>
      </c>
      <c r="C15" s="4"/>
      <c r="D15" s="4"/>
      <c r="E15" s="4"/>
      <c r="F15" s="4"/>
      <c r="G15" s="5"/>
      <c r="H15" s="6" t="n">
        <f aca="false">IF(G15=4,10,IF(G15=3,7,IF(G15=2,4,0)))</f>
        <v>0</v>
      </c>
      <c r="I15" s="6" t="n">
        <f aca="false">INDEX(Evaluaciones!$N$3:$N$17,(A15-1)*5+B15)+H15</f>
        <v>0</v>
      </c>
      <c r="J15" s="4"/>
      <c r="K15" s="4"/>
    </row>
    <row r="16" customFormat="false" ht="12.8" hidden="false" customHeight="false" outlineLevel="0" collapsed="false">
      <c r="A16" s="4" t="n">
        <v>1</v>
      </c>
      <c r="B16" s="4" t="n">
        <v>3</v>
      </c>
      <c r="C16" s="4"/>
      <c r="D16" s="4"/>
      <c r="E16" s="4"/>
      <c r="F16" s="4"/>
      <c r="G16" s="5"/>
      <c r="H16" s="6" t="n">
        <f aca="false">IF(G16=4,10,IF(G16=3,7,IF(G16=2,4,0)))</f>
        <v>0</v>
      </c>
      <c r="I16" s="6" t="n">
        <f aca="false">INDEX(Evaluaciones!$N$3:$N$17,(A16-1)*5+B16)+H16</f>
        <v>0</v>
      </c>
      <c r="J16" s="4"/>
      <c r="K16" s="4"/>
    </row>
    <row r="17" customFormat="false" ht="12.8" hidden="false" customHeight="false" outlineLevel="0" collapsed="false">
      <c r="A17" s="4" t="n">
        <v>1</v>
      </c>
      <c r="B17" s="4" t="n">
        <v>3</v>
      </c>
      <c r="C17" s="4"/>
      <c r="D17" s="4"/>
      <c r="E17" s="4"/>
      <c r="F17" s="4"/>
      <c r="G17" s="5"/>
      <c r="H17" s="6" t="n">
        <f aca="false">IF(G17=4,10,IF(G17=3,7,IF(G17=2,4,0)))</f>
        <v>0</v>
      </c>
      <c r="I17" s="6" t="n">
        <f aca="false">INDEX(Evaluaciones!$N$3:$N$17,(A17-1)*5+B17)+H17</f>
        <v>0</v>
      </c>
      <c r="J17" s="4"/>
      <c r="K17" s="4"/>
    </row>
    <row r="18" customFormat="false" ht="12.8" hidden="false" customHeight="false" outlineLevel="0" collapsed="false">
      <c r="A18" s="4" t="n">
        <v>1</v>
      </c>
      <c r="B18" s="4" t="n">
        <v>4</v>
      </c>
      <c r="C18" s="4"/>
      <c r="D18" s="4"/>
      <c r="E18" s="4"/>
      <c r="F18" s="4"/>
      <c r="G18" s="5"/>
      <c r="H18" s="6" t="n">
        <f aca="false">IF(G18=4,10,IF(G18=3,7,IF(G18=2,4,0)))</f>
        <v>0</v>
      </c>
      <c r="I18" s="6" t="n">
        <f aca="false">INDEX(Evaluaciones!$N$3:$N$17,(A18-1)*5+B18)+H18</f>
        <v>0</v>
      </c>
      <c r="J18" s="4"/>
      <c r="K18" s="4"/>
    </row>
    <row r="19" customFormat="false" ht="12.8" hidden="false" customHeight="false" outlineLevel="0" collapsed="false">
      <c r="A19" s="4" t="n">
        <v>1</v>
      </c>
      <c r="B19" s="4" t="n">
        <v>4</v>
      </c>
      <c r="C19" s="4"/>
      <c r="D19" s="4"/>
      <c r="E19" s="4"/>
      <c r="F19" s="4"/>
      <c r="G19" s="5"/>
      <c r="H19" s="6" t="n">
        <f aca="false">IF(G19=4,10,IF(G19=3,7,IF(G19=2,4,0)))</f>
        <v>0</v>
      </c>
      <c r="I19" s="6" t="n">
        <f aca="false">INDEX(Evaluaciones!$N$3:$N$17,(A19-1)*5+B19)+H19</f>
        <v>0</v>
      </c>
      <c r="J19" s="4"/>
      <c r="K19" s="4"/>
    </row>
    <row r="20" customFormat="false" ht="12.8" hidden="false" customHeight="false" outlineLevel="0" collapsed="false">
      <c r="A20" s="4" t="n">
        <v>1</v>
      </c>
      <c r="B20" s="4" t="n">
        <v>4</v>
      </c>
      <c r="C20" s="4"/>
      <c r="D20" s="4"/>
      <c r="E20" s="4"/>
      <c r="F20" s="4"/>
      <c r="G20" s="5"/>
      <c r="H20" s="6" t="n">
        <f aca="false">IF(G20=4,10,IF(G20=3,7,IF(G20=2,4,0)))</f>
        <v>0</v>
      </c>
      <c r="I20" s="6" t="n">
        <f aca="false">INDEX(Evaluaciones!$N$3:$N$17,(A20-1)*5+B20)+H20</f>
        <v>0</v>
      </c>
      <c r="J20" s="4"/>
      <c r="K20" s="4"/>
    </row>
    <row r="21" customFormat="false" ht="12.8" hidden="false" customHeight="false" outlineLevel="0" collapsed="false">
      <c r="A21" s="4" t="n">
        <v>1</v>
      </c>
      <c r="B21" s="4" t="n">
        <v>4</v>
      </c>
      <c r="C21" s="4"/>
      <c r="D21" s="4"/>
      <c r="E21" s="4"/>
      <c r="F21" s="4"/>
      <c r="G21" s="5"/>
      <c r="H21" s="6" t="n">
        <f aca="false">IF(G21=4,10,IF(G21=3,7,IF(G21=2,4,0)))</f>
        <v>0</v>
      </c>
      <c r="I21" s="6" t="n">
        <f aca="false">INDEX(Evaluaciones!$N$3:$N$17,(A21-1)*5+B21)+H21</f>
        <v>0</v>
      </c>
      <c r="J21" s="4"/>
      <c r="K21" s="4"/>
    </row>
    <row r="22" customFormat="false" ht="12.8" hidden="false" customHeight="false" outlineLevel="0" collapsed="false">
      <c r="A22" s="4" t="n">
        <v>1</v>
      </c>
      <c r="B22" s="4" t="n">
        <v>4</v>
      </c>
      <c r="C22" s="4"/>
      <c r="D22" s="4"/>
      <c r="E22" s="4"/>
      <c r="F22" s="4"/>
      <c r="G22" s="5"/>
      <c r="H22" s="6" t="n">
        <f aca="false">IF(G22=4,10,IF(G22=3,7,IF(G22=2,4,0)))</f>
        <v>0</v>
      </c>
      <c r="I22" s="6" t="n">
        <f aca="false">INDEX(Evaluaciones!$N$3:$N$17,(A22-1)*5+B22)+H22</f>
        <v>0</v>
      </c>
      <c r="J22" s="4"/>
      <c r="K22" s="4"/>
    </row>
    <row r="23" customFormat="false" ht="12.8" hidden="false" customHeight="false" outlineLevel="0" collapsed="false">
      <c r="A23" s="4" t="n">
        <v>1</v>
      </c>
      <c r="B23" s="4" t="n">
        <v>5</v>
      </c>
      <c r="C23" s="4"/>
      <c r="D23" s="4"/>
      <c r="E23" s="4"/>
      <c r="F23" s="4"/>
      <c r="G23" s="5"/>
      <c r="H23" s="6" t="n">
        <f aca="false">IF(G23=4,10,IF(G23=3,7,IF(G23=2,4,0)))</f>
        <v>0</v>
      </c>
      <c r="I23" s="6" t="n">
        <f aca="false">INDEX(Evaluaciones!$N$3:$N$17,(A23-1)*5+B23)+H23</f>
        <v>0</v>
      </c>
      <c r="J23" s="4"/>
      <c r="K23" s="4"/>
    </row>
    <row r="24" customFormat="false" ht="12.8" hidden="false" customHeight="false" outlineLevel="0" collapsed="false">
      <c r="A24" s="4" t="n">
        <v>1</v>
      </c>
      <c r="B24" s="4" t="n">
        <v>5</v>
      </c>
      <c r="C24" s="4"/>
      <c r="D24" s="4"/>
      <c r="E24" s="4"/>
      <c r="F24" s="4"/>
      <c r="G24" s="5"/>
      <c r="H24" s="6" t="n">
        <f aca="false">IF(G24=4,10,IF(G24=3,7,IF(G24=2,4,0)))</f>
        <v>0</v>
      </c>
      <c r="I24" s="6" t="n">
        <f aca="false">INDEX(Evaluaciones!$N$3:$N$17,(A24-1)*5+B24)+H24</f>
        <v>0</v>
      </c>
      <c r="J24" s="4"/>
      <c r="K24" s="4"/>
    </row>
    <row r="25" customFormat="false" ht="12.8" hidden="false" customHeight="false" outlineLevel="0" collapsed="false">
      <c r="A25" s="4" t="n">
        <v>1</v>
      </c>
      <c r="B25" s="4" t="n">
        <v>5</v>
      </c>
      <c r="C25" s="4"/>
      <c r="D25" s="4"/>
      <c r="E25" s="4"/>
      <c r="F25" s="4"/>
      <c r="G25" s="5"/>
      <c r="H25" s="6" t="n">
        <f aca="false">IF(G25=4,10,IF(G25=3,7,IF(G25=2,4,0)))</f>
        <v>0</v>
      </c>
      <c r="I25" s="6" t="n">
        <f aca="false">INDEX(Evaluaciones!$N$3:$N$17,(A25-1)*5+B25)+H25</f>
        <v>0</v>
      </c>
      <c r="J25" s="4"/>
      <c r="K25" s="4"/>
    </row>
    <row r="26" customFormat="false" ht="12.8" hidden="false" customHeight="false" outlineLevel="0" collapsed="false">
      <c r="A26" s="4" t="n">
        <v>1</v>
      </c>
      <c r="B26" s="4" t="n">
        <v>5</v>
      </c>
      <c r="C26" s="4"/>
      <c r="D26" s="4"/>
      <c r="E26" s="4"/>
      <c r="F26" s="4"/>
      <c r="G26" s="5"/>
      <c r="H26" s="6" t="n">
        <f aca="false">IF(G26=4,10,IF(G26=3,7,IF(G26=2,4,0)))</f>
        <v>0</v>
      </c>
      <c r="I26" s="6" t="n">
        <f aca="false">INDEX(Evaluaciones!$N$3:$N$17,(A26-1)*5+B26)+H26</f>
        <v>0</v>
      </c>
      <c r="J26" s="4"/>
      <c r="K26" s="4"/>
    </row>
    <row r="27" customFormat="false" ht="12.8" hidden="false" customHeight="false" outlineLevel="0" collapsed="false">
      <c r="A27" s="4" t="n">
        <v>1</v>
      </c>
      <c r="B27" s="4" t="n">
        <v>5</v>
      </c>
      <c r="C27" s="4"/>
      <c r="D27" s="4"/>
      <c r="E27" s="4"/>
      <c r="F27" s="4"/>
      <c r="G27" s="5"/>
      <c r="H27" s="6" t="n">
        <f aca="false">IF(G27=4,10,IF(G27=3,7,IF(G27=2,4,0)))</f>
        <v>0</v>
      </c>
      <c r="I27" s="6" t="n">
        <f aca="false">INDEX(Evaluaciones!$N$3:$N$17,(A27-1)*5+B27)+H27</f>
        <v>0</v>
      </c>
      <c r="J27" s="4"/>
      <c r="K27" s="4"/>
    </row>
    <row r="28" customFormat="false" ht="12.8" hidden="false" customHeight="false" outlineLevel="0" collapsed="false">
      <c r="A28" s="4" t="n">
        <v>2</v>
      </c>
      <c r="B28" s="4" t="n">
        <v>1</v>
      </c>
      <c r="C28" s="4"/>
      <c r="D28" s="4"/>
      <c r="E28" s="4"/>
      <c r="F28" s="4"/>
      <c r="G28" s="5"/>
      <c r="H28" s="6" t="n">
        <f aca="false">IF(G28=4,10,IF(G28=3,7,IF(G28=2,4,0)))</f>
        <v>0</v>
      </c>
      <c r="I28" s="6" t="n">
        <f aca="false">INDEX(Evaluaciones!$N$3:$N$17,(A28-1)*5+B28)+H28</f>
        <v>0</v>
      </c>
      <c r="J28" s="4"/>
      <c r="K28" s="4"/>
    </row>
    <row r="29" customFormat="false" ht="12.8" hidden="false" customHeight="false" outlineLevel="0" collapsed="false">
      <c r="A29" s="4" t="n">
        <v>2</v>
      </c>
      <c r="B29" s="4" t="n">
        <v>1</v>
      </c>
      <c r="C29" s="4"/>
      <c r="D29" s="4"/>
      <c r="E29" s="4"/>
      <c r="F29" s="4"/>
      <c r="G29" s="5"/>
      <c r="H29" s="6" t="n">
        <f aca="false">IF(G29=4,10,IF(G29=3,7,IF(G29=2,4,0)))</f>
        <v>0</v>
      </c>
      <c r="I29" s="6" t="n">
        <f aca="false">INDEX(Evaluaciones!$N$3:$N$17,(A29-1)*5+B29)+H29</f>
        <v>0</v>
      </c>
      <c r="J29" s="4"/>
      <c r="K29" s="4"/>
    </row>
    <row r="30" customFormat="false" ht="12.8" hidden="false" customHeight="false" outlineLevel="0" collapsed="false">
      <c r="A30" s="4" t="n">
        <v>2</v>
      </c>
      <c r="B30" s="4" t="n">
        <v>1</v>
      </c>
      <c r="C30" s="4"/>
      <c r="D30" s="4"/>
      <c r="E30" s="4"/>
      <c r="F30" s="4"/>
      <c r="G30" s="5"/>
      <c r="H30" s="6" t="n">
        <f aca="false">IF(G30=4,10,IF(G30=3,7,IF(G30=2,4,0)))</f>
        <v>0</v>
      </c>
      <c r="I30" s="6" t="n">
        <f aca="false">INDEX(Evaluaciones!$N$3:$N$17,(A30-1)*5+B30)+H30</f>
        <v>0</v>
      </c>
      <c r="J30" s="4"/>
      <c r="K30" s="4"/>
    </row>
    <row r="31" customFormat="false" ht="12.8" hidden="false" customHeight="false" outlineLevel="0" collapsed="false">
      <c r="A31" s="4" t="n">
        <v>2</v>
      </c>
      <c r="B31" s="4" t="n">
        <v>1</v>
      </c>
      <c r="C31" s="4"/>
      <c r="D31" s="4"/>
      <c r="E31" s="4"/>
      <c r="F31" s="4"/>
      <c r="G31" s="5"/>
      <c r="H31" s="6" t="n">
        <f aca="false">IF(G31=4,10,IF(G31=3,7,IF(G31=2,4,0)))</f>
        <v>0</v>
      </c>
      <c r="I31" s="6" t="n">
        <f aca="false">INDEX(Evaluaciones!$N$3:$N$17,(A31-1)*5+B31)+H31</f>
        <v>0</v>
      </c>
      <c r="J31" s="4"/>
      <c r="K31" s="4"/>
    </row>
    <row r="32" customFormat="false" ht="12.8" hidden="false" customHeight="false" outlineLevel="0" collapsed="false">
      <c r="A32" s="4" t="n">
        <v>2</v>
      </c>
      <c r="B32" s="4" t="n">
        <v>1</v>
      </c>
      <c r="C32" s="4"/>
      <c r="D32" s="4"/>
      <c r="E32" s="4"/>
      <c r="F32" s="4"/>
      <c r="G32" s="5"/>
      <c r="H32" s="6" t="n">
        <f aca="false">IF(G32=4,10,IF(G32=3,7,IF(G32=2,4,0)))</f>
        <v>0</v>
      </c>
      <c r="I32" s="6" t="n">
        <f aca="false">INDEX(Evaluaciones!$N$3:$N$17,(A32-1)*5+B32)+H32</f>
        <v>0</v>
      </c>
      <c r="J32" s="4"/>
      <c r="K32" s="4"/>
    </row>
    <row r="33" customFormat="false" ht="12.8" hidden="false" customHeight="false" outlineLevel="0" collapsed="false">
      <c r="A33" s="4" t="n">
        <v>2</v>
      </c>
      <c r="B33" s="4" t="n">
        <v>2</v>
      </c>
      <c r="C33" s="4"/>
      <c r="D33" s="4"/>
      <c r="E33" s="4"/>
      <c r="F33" s="4"/>
      <c r="G33" s="5"/>
      <c r="H33" s="6" t="n">
        <f aca="false">IF(G33=4,10,IF(G33=3,7,IF(G33=2,4,0)))</f>
        <v>0</v>
      </c>
      <c r="I33" s="6" t="n">
        <f aca="false">INDEX(Evaluaciones!$N$3:$N$17,(A33-1)*5+B33)+H33</f>
        <v>0</v>
      </c>
      <c r="J33" s="4"/>
      <c r="K33" s="4"/>
    </row>
    <row r="34" customFormat="false" ht="12.8" hidden="false" customHeight="false" outlineLevel="0" collapsed="false">
      <c r="A34" s="4" t="n">
        <v>2</v>
      </c>
      <c r="B34" s="4" t="n">
        <v>2</v>
      </c>
      <c r="C34" s="4"/>
      <c r="D34" s="4"/>
      <c r="E34" s="4"/>
      <c r="F34" s="4"/>
      <c r="G34" s="5"/>
      <c r="H34" s="6" t="n">
        <f aca="false">IF(G34=4,10,IF(G34=3,7,IF(G34=2,4,0)))</f>
        <v>0</v>
      </c>
      <c r="I34" s="6" t="n">
        <f aca="false">INDEX(Evaluaciones!$N$3:$N$17,(A34-1)*5+B34)+H34</f>
        <v>0</v>
      </c>
      <c r="J34" s="4"/>
      <c r="K34" s="4"/>
    </row>
    <row r="35" customFormat="false" ht="12.8" hidden="false" customHeight="false" outlineLevel="0" collapsed="false">
      <c r="A35" s="4" t="n">
        <v>2</v>
      </c>
      <c r="B35" s="4" t="n">
        <v>2</v>
      </c>
      <c r="C35" s="4"/>
      <c r="D35" s="4"/>
      <c r="E35" s="4"/>
      <c r="F35" s="4"/>
      <c r="G35" s="5"/>
      <c r="H35" s="6" t="n">
        <f aca="false">IF(G35=4,10,IF(G35=3,7,IF(G35=2,4,0)))</f>
        <v>0</v>
      </c>
      <c r="I35" s="6" t="n">
        <f aca="false">INDEX(Evaluaciones!$N$3:$N$17,(A35-1)*5+B35)+H35</f>
        <v>0</v>
      </c>
      <c r="J35" s="4"/>
      <c r="K35" s="4"/>
    </row>
    <row r="36" customFormat="false" ht="12.8" hidden="false" customHeight="false" outlineLevel="0" collapsed="false">
      <c r="A36" s="4" t="n">
        <v>2</v>
      </c>
      <c r="B36" s="4" t="n">
        <v>2</v>
      </c>
      <c r="C36" s="4"/>
      <c r="D36" s="4"/>
      <c r="E36" s="4"/>
      <c r="F36" s="4"/>
      <c r="G36" s="5"/>
      <c r="H36" s="6" t="n">
        <f aca="false">IF(G36=4,10,IF(G36=3,7,IF(G36=2,4,0)))</f>
        <v>0</v>
      </c>
      <c r="I36" s="6" t="n">
        <f aca="false">INDEX(Evaluaciones!$N$3:$N$17,(A36-1)*5+B36)+H36</f>
        <v>0</v>
      </c>
      <c r="J36" s="4"/>
      <c r="K36" s="4"/>
    </row>
    <row r="37" customFormat="false" ht="12.8" hidden="false" customHeight="false" outlineLevel="0" collapsed="false">
      <c r="A37" s="4" t="n">
        <v>2</v>
      </c>
      <c r="B37" s="4" t="n">
        <v>2</v>
      </c>
      <c r="C37" s="4"/>
      <c r="D37" s="4"/>
      <c r="E37" s="4"/>
      <c r="F37" s="4"/>
      <c r="G37" s="5"/>
      <c r="H37" s="6" t="n">
        <f aca="false">IF(G37=4,10,IF(G37=3,7,IF(G37=2,4,0)))</f>
        <v>0</v>
      </c>
      <c r="I37" s="6" t="n">
        <f aca="false">INDEX(Evaluaciones!$N$3:$N$17,(A37-1)*5+B37)+H37</f>
        <v>0</v>
      </c>
      <c r="J37" s="4"/>
      <c r="K37" s="4"/>
    </row>
    <row r="38" customFormat="false" ht="12.8" hidden="false" customHeight="false" outlineLevel="0" collapsed="false">
      <c r="A38" s="4" t="n">
        <v>2</v>
      </c>
      <c r="B38" s="4" t="n">
        <v>3</v>
      </c>
      <c r="C38" s="4"/>
      <c r="D38" s="4"/>
      <c r="E38" s="4"/>
      <c r="F38" s="4"/>
      <c r="G38" s="5"/>
      <c r="H38" s="6" t="n">
        <f aca="false">IF(G38=4,10,IF(G38=3,7,IF(G38=2,4,0)))</f>
        <v>0</v>
      </c>
      <c r="I38" s="6" t="n">
        <f aca="false">INDEX(Evaluaciones!$N$3:$N$17,(A38-1)*5+B38)+H38</f>
        <v>0</v>
      </c>
      <c r="J38" s="4"/>
      <c r="K38" s="4"/>
    </row>
    <row r="39" customFormat="false" ht="12.8" hidden="false" customHeight="false" outlineLevel="0" collapsed="false">
      <c r="A39" s="4" t="n">
        <v>2</v>
      </c>
      <c r="B39" s="4" t="n">
        <v>3</v>
      </c>
      <c r="C39" s="4"/>
      <c r="D39" s="4"/>
      <c r="E39" s="4"/>
      <c r="F39" s="4"/>
      <c r="G39" s="5"/>
      <c r="H39" s="6" t="n">
        <f aca="false">IF(G39=4,10,IF(G39=3,7,IF(G39=2,4,0)))</f>
        <v>0</v>
      </c>
      <c r="I39" s="6" t="n">
        <f aca="false">INDEX(Evaluaciones!$N$3:$N$17,(A39-1)*5+B39)+H39</f>
        <v>0</v>
      </c>
      <c r="J39" s="4"/>
      <c r="K39" s="4"/>
    </row>
    <row r="40" customFormat="false" ht="12.8" hidden="false" customHeight="false" outlineLevel="0" collapsed="false">
      <c r="A40" s="4" t="n">
        <v>2</v>
      </c>
      <c r="B40" s="4" t="n">
        <v>3</v>
      </c>
      <c r="C40" s="4"/>
      <c r="D40" s="4"/>
      <c r="E40" s="4"/>
      <c r="F40" s="4"/>
      <c r="G40" s="5"/>
      <c r="H40" s="6" t="n">
        <f aca="false">IF(G40=4,10,IF(G40=3,7,IF(G40=2,4,0)))</f>
        <v>0</v>
      </c>
      <c r="I40" s="6" t="n">
        <f aca="false">INDEX(Evaluaciones!$N$3:$N$17,(A40-1)*5+B40)+H40</f>
        <v>0</v>
      </c>
      <c r="J40" s="4"/>
      <c r="K40" s="4"/>
    </row>
    <row r="41" customFormat="false" ht="12.8" hidden="false" customHeight="false" outlineLevel="0" collapsed="false">
      <c r="A41" s="4" t="n">
        <v>2</v>
      </c>
      <c r="B41" s="4" t="n">
        <v>3</v>
      </c>
      <c r="C41" s="4"/>
      <c r="D41" s="4"/>
      <c r="E41" s="4"/>
      <c r="F41" s="4"/>
      <c r="G41" s="5"/>
      <c r="H41" s="6" t="n">
        <f aca="false">IF(G41=4,10,IF(G41=3,7,IF(G41=2,4,0)))</f>
        <v>0</v>
      </c>
      <c r="I41" s="6" t="n">
        <f aca="false">INDEX(Evaluaciones!$N$3:$N$17,(A41-1)*5+B41)+H41</f>
        <v>0</v>
      </c>
      <c r="J41" s="4"/>
      <c r="K41" s="4"/>
    </row>
    <row r="42" customFormat="false" ht="12.8" hidden="false" customHeight="false" outlineLevel="0" collapsed="false">
      <c r="A42" s="4" t="n">
        <v>2</v>
      </c>
      <c r="B42" s="4" t="n">
        <v>3</v>
      </c>
      <c r="C42" s="4"/>
      <c r="D42" s="4"/>
      <c r="E42" s="4"/>
      <c r="F42" s="4"/>
      <c r="G42" s="5"/>
      <c r="H42" s="6" t="n">
        <f aca="false">IF(G42=4,10,IF(G42=3,7,IF(G42=2,4,0)))</f>
        <v>0</v>
      </c>
      <c r="I42" s="6" t="n">
        <f aca="false">INDEX(Evaluaciones!$N$3:$N$17,(A42-1)*5+B42)+H42</f>
        <v>0</v>
      </c>
      <c r="J42" s="4"/>
      <c r="K42" s="4"/>
    </row>
    <row r="43" customFormat="false" ht="12.8" hidden="false" customHeight="false" outlineLevel="0" collapsed="false">
      <c r="A43" s="4" t="n">
        <v>2</v>
      </c>
      <c r="B43" s="4" t="n">
        <v>4</v>
      </c>
      <c r="C43" s="4"/>
      <c r="D43" s="4"/>
      <c r="E43" s="4"/>
      <c r="F43" s="4"/>
      <c r="G43" s="5"/>
      <c r="H43" s="6" t="n">
        <f aca="false">IF(G43=4,10,IF(G43=3,7,IF(G43=2,4,0)))</f>
        <v>0</v>
      </c>
      <c r="I43" s="6" t="n">
        <f aca="false">INDEX(Evaluaciones!$N$3:$N$17,(A43-1)*5+B43)+H43</f>
        <v>0</v>
      </c>
      <c r="J43" s="4"/>
      <c r="K43" s="4"/>
    </row>
    <row r="44" customFormat="false" ht="12.8" hidden="false" customHeight="false" outlineLevel="0" collapsed="false">
      <c r="A44" s="4" t="n">
        <v>2</v>
      </c>
      <c r="B44" s="4" t="n">
        <v>4</v>
      </c>
      <c r="C44" s="4"/>
      <c r="D44" s="4"/>
      <c r="E44" s="4"/>
      <c r="F44" s="4"/>
      <c r="G44" s="5"/>
      <c r="H44" s="6" t="n">
        <f aca="false">IF(G44=4,10,IF(G44=3,7,IF(G44=2,4,0)))</f>
        <v>0</v>
      </c>
      <c r="I44" s="6" t="n">
        <f aca="false">INDEX(Evaluaciones!$N$3:$N$17,(A44-1)*5+B44)+H44</f>
        <v>0</v>
      </c>
      <c r="J44" s="4"/>
      <c r="K44" s="4"/>
    </row>
    <row r="45" customFormat="false" ht="12.8" hidden="false" customHeight="false" outlineLevel="0" collapsed="false">
      <c r="A45" s="4" t="n">
        <v>2</v>
      </c>
      <c r="B45" s="4" t="n">
        <v>4</v>
      </c>
      <c r="C45" s="4"/>
      <c r="D45" s="4"/>
      <c r="E45" s="4"/>
      <c r="F45" s="4"/>
      <c r="G45" s="5"/>
      <c r="H45" s="6" t="n">
        <f aca="false">IF(G45=4,10,IF(G45=3,7,IF(G45=2,4,0)))</f>
        <v>0</v>
      </c>
      <c r="I45" s="6" t="n">
        <f aca="false">INDEX(Evaluaciones!$N$3:$N$17,(A45-1)*5+B45)+H45</f>
        <v>0</v>
      </c>
      <c r="J45" s="4"/>
      <c r="K45" s="4"/>
    </row>
    <row r="46" customFormat="false" ht="12.8" hidden="false" customHeight="false" outlineLevel="0" collapsed="false">
      <c r="A46" s="4" t="n">
        <v>2</v>
      </c>
      <c r="B46" s="4" t="n">
        <v>4</v>
      </c>
      <c r="C46" s="4"/>
      <c r="D46" s="4"/>
      <c r="E46" s="4"/>
      <c r="F46" s="4"/>
      <c r="G46" s="5"/>
      <c r="H46" s="6" t="n">
        <f aca="false">IF(G46=4,10,IF(G46=3,7,IF(G46=2,4,0)))</f>
        <v>0</v>
      </c>
      <c r="I46" s="6" t="n">
        <f aca="false">INDEX(Evaluaciones!$N$3:$N$17,(A46-1)*5+B46)+H46</f>
        <v>0</v>
      </c>
      <c r="J46" s="4"/>
      <c r="K46" s="4"/>
    </row>
    <row r="47" customFormat="false" ht="12.8" hidden="false" customHeight="false" outlineLevel="0" collapsed="false">
      <c r="A47" s="4" t="n">
        <v>2</v>
      </c>
      <c r="B47" s="4" t="n">
        <v>4</v>
      </c>
      <c r="C47" s="4"/>
      <c r="D47" s="4"/>
      <c r="E47" s="4"/>
      <c r="F47" s="4"/>
      <c r="G47" s="5"/>
      <c r="H47" s="6" t="n">
        <f aca="false">IF(G47=4,10,IF(G47=3,7,IF(G47=2,4,0)))</f>
        <v>0</v>
      </c>
      <c r="I47" s="6" t="n">
        <f aca="false">INDEX(Evaluaciones!$N$3:$N$17,(A47-1)*5+B47)+H47</f>
        <v>0</v>
      </c>
      <c r="J47" s="4"/>
      <c r="K47" s="4"/>
    </row>
    <row r="48" customFormat="false" ht="12.8" hidden="false" customHeight="false" outlineLevel="0" collapsed="false">
      <c r="A48" s="4" t="n">
        <v>2</v>
      </c>
      <c r="B48" s="4" t="n">
        <v>5</v>
      </c>
      <c r="C48" s="4"/>
      <c r="D48" s="4"/>
      <c r="E48" s="4"/>
      <c r="F48" s="4"/>
      <c r="G48" s="5"/>
      <c r="H48" s="6" t="n">
        <f aca="false">IF(G48=4,10,IF(G48=3,7,IF(G48=2,4,0)))</f>
        <v>0</v>
      </c>
      <c r="I48" s="6" t="n">
        <f aca="false">INDEX(Evaluaciones!$N$3:$N$17,(A48-1)*5+B48)+H48</f>
        <v>0</v>
      </c>
      <c r="J48" s="4"/>
      <c r="K48" s="4"/>
    </row>
    <row r="49" customFormat="false" ht="12.8" hidden="false" customHeight="false" outlineLevel="0" collapsed="false">
      <c r="A49" s="4" t="n">
        <v>2</v>
      </c>
      <c r="B49" s="4" t="n">
        <v>5</v>
      </c>
      <c r="C49" s="4"/>
      <c r="D49" s="4"/>
      <c r="E49" s="4"/>
      <c r="F49" s="4"/>
      <c r="G49" s="5"/>
      <c r="H49" s="6" t="n">
        <f aca="false">IF(G49=4,10,IF(G49=3,7,IF(G49=2,4,0)))</f>
        <v>0</v>
      </c>
      <c r="I49" s="6" t="n">
        <f aca="false">INDEX(Evaluaciones!$N$3:$N$17,(A49-1)*5+B49)+H49</f>
        <v>0</v>
      </c>
      <c r="J49" s="4"/>
      <c r="K49" s="4"/>
    </row>
    <row r="50" customFormat="false" ht="12.8" hidden="false" customHeight="false" outlineLevel="0" collapsed="false">
      <c r="A50" s="4" t="n">
        <v>2</v>
      </c>
      <c r="B50" s="4" t="n">
        <v>5</v>
      </c>
      <c r="C50" s="4"/>
      <c r="D50" s="4"/>
      <c r="E50" s="4"/>
      <c r="F50" s="4"/>
      <c r="G50" s="5"/>
      <c r="H50" s="6" t="n">
        <f aca="false">IF(G50=4,10,IF(G50=3,7,IF(G50=2,4,0)))</f>
        <v>0</v>
      </c>
      <c r="I50" s="6" t="n">
        <f aca="false">INDEX(Evaluaciones!$N$3:$N$17,(A50-1)*5+B50)+H50</f>
        <v>0</v>
      </c>
      <c r="J50" s="4"/>
      <c r="K50" s="4"/>
    </row>
    <row r="51" customFormat="false" ht="12.8" hidden="false" customHeight="false" outlineLevel="0" collapsed="false">
      <c r="A51" s="4" t="n">
        <v>2</v>
      </c>
      <c r="B51" s="4" t="n">
        <v>5</v>
      </c>
      <c r="C51" s="4"/>
      <c r="D51" s="4"/>
      <c r="E51" s="4"/>
      <c r="F51" s="4"/>
      <c r="G51" s="5"/>
      <c r="H51" s="6" t="n">
        <f aca="false">IF(G51=4,10,IF(G51=3,7,IF(G51=2,4,0)))</f>
        <v>0</v>
      </c>
      <c r="I51" s="6" t="n">
        <f aca="false">INDEX(Evaluaciones!$N$3:$N$17,(A51-1)*5+B51)+H51</f>
        <v>0</v>
      </c>
      <c r="J51" s="4"/>
      <c r="K51" s="4"/>
    </row>
    <row r="52" customFormat="false" ht="12.8" hidden="false" customHeight="false" outlineLevel="0" collapsed="false">
      <c r="A52" s="4" t="n">
        <v>2</v>
      </c>
      <c r="B52" s="4" t="n">
        <v>5</v>
      </c>
      <c r="C52" s="4"/>
      <c r="D52" s="4"/>
      <c r="E52" s="4"/>
      <c r="F52" s="4"/>
      <c r="G52" s="5"/>
      <c r="H52" s="6" t="n">
        <f aca="false">IF(G52=4,10,IF(G52=3,7,IF(G52=2,4,0)))</f>
        <v>0</v>
      </c>
      <c r="I52" s="6" t="n">
        <f aca="false">INDEX(Evaluaciones!$N$3:$N$17,(A52-1)*5+B52)+H52</f>
        <v>0</v>
      </c>
      <c r="J52" s="4"/>
      <c r="K52" s="4"/>
    </row>
    <row r="53" customFormat="false" ht="12.8" hidden="false" customHeight="false" outlineLevel="0" collapsed="false">
      <c r="A53" s="4" t="n">
        <v>3</v>
      </c>
      <c r="B53" s="4" t="n">
        <v>1</v>
      </c>
      <c r="C53" s="4"/>
      <c r="D53" s="4"/>
      <c r="E53" s="4"/>
      <c r="F53" s="4"/>
      <c r="G53" s="5"/>
      <c r="H53" s="6" t="n">
        <f aca="false">IF(G53=4,10,IF(G53=3,7,IF(G53=2,4,0)))</f>
        <v>0</v>
      </c>
      <c r="I53" s="6" t="n">
        <f aca="false">INDEX(Evaluaciones!$N$3:$N$17,(A53-1)*5+B53)+H53</f>
        <v>0</v>
      </c>
      <c r="J53" s="4"/>
      <c r="K53" s="4"/>
    </row>
    <row r="54" customFormat="false" ht="12.8" hidden="false" customHeight="false" outlineLevel="0" collapsed="false">
      <c r="A54" s="4" t="n">
        <v>3</v>
      </c>
      <c r="B54" s="4" t="n">
        <v>1</v>
      </c>
      <c r="C54" s="4"/>
      <c r="D54" s="4"/>
      <c r="E54" s="4"/>
      <c r="F54" s="4"/>
      <c r="G54" s="5"/>
      <c r="H54" s="6" t="n">
        <f aca="false">IF(G54=4,10,IF(G54=3,7,IF(G54=2,4,0)))</f>
        <v>0</v>
      </c>
      <c r="I54" s="6" t="n">
        <f aca="false">INDEX(Evaluaciones!$N$3:$N$17,(A54-1)*5+B54)+H54</f>
        <v>0</v>
      </c>
      <c r="J54" s="4"/>
      <c r="K54" s="4"/>
    </row>
    <row r="55" customFormat="false" ht="12.8" hidden="false" customHeight="false" outlineLevel="0" collapsed="false">
      <c r="A55" s="4" t="n">
        <v>3</v>
      </c>
      <c r="B55" s="4" t="n">
        <v>1</v>
      </c>
      <c r="C55" s="4"/>
      <c r="D55" s="4"/>
      <c r="E55" s="4"/>
      <c r="F55" s="4"/>
      <c r="G55" s="5"/>
      <c r="H55" s="6" t="n">
        <f aca="false">IF(G55=4,10,IF(G55=3,7,IF(G55=2,4,0)))</f>
        <v>0</v>
      </c>
      <c r="I55" s="6" t="n">
        <f aca="false">INDEX(Evaluaciones!$N$3:$N$17,(A55-1)*5+B55)+H55</f>
        <v>0</v>
      </c>
      <c r="J55" s="4"/>
      <c r="K55" s="4"/>
    </row>
    <row r="56" customFormat="false" ht="12.8" hidden="false" customHeight="false" outlineLevel="0" collapsed="false">
      <c r="A56" s="4" t="n">
        <v>3</v>
      </c>
      <c r="B56" s="4" t="n">
        <v>1</v>
      </c>
      <c r="C56" s="4"/>
      <c r="D56" s="4"/>
      <c r="E56" s="4"/>
      <c r="F56" s="4"/>
      <c r="G56" s="5"/>
      <c r="H56" s="6" t="n">
        <f aca="false">IF(G56=4,10,IF(G56=3,7,IF(G56=2,4,0)))</f>
        <v>0</v>
      </c>
      <c r="I56" s="6" t="n">
        <f aca="false">INDEX(Evaluaciones!$N$3:$N$17,(A56-1)*5+B56)+H56</f>
        <v>0</v>
      </c>
      <c r="J56" s="4"/>
      <c r="K56" s="4"/>
    </row>
    <row r="57" customFormat="false" ht="12.8" hidden="false" customHeight="false" outlineLevel="0" collapsed="false">
      <c r="A57" s="4" t="n">
        <v>3</v>
      </c>
      <c r="B57" s="4" t="n">
        <v>1</v>
      </c>
      <c r="C57" s="4"/>
      <c r="D57" s="4"/>
      <c r="E57" s="4"/>
      <c r="F57" s="4"/>
      <c r="G57" s="5"/>
      <c r="H57" s="6" t="n">
        <f aca="false">IF(G57=4,10,IF(G57=3,7,IF(G57=2,4,0)))</f>
        <v>0</v>
      </c>
      <c r="I57" s="6" t="n">
        <f aca="false">INDEX(Evaluaciones!$N$3:$N$17,(A57-1)*5+B57)+H57</f>
        <v>0</v>
      </c>
      <c r="J57" s="4"/>
      <c r="K57" s="4"/>
    </row>
    <row r="58" customFormat="false" ht="12.8" hidden="false" customHeight="false" outlineLevel="0" collapsed="false">
      <c r="A58" s="4" t="n">
        <v>3</v>
      </c>
      <c r="B58" s="4" t="n">
        <v>2</v>
      </c>
      <c r="C58" s="4"/>
      <c r="D58" s="4"/>
      <c r="E58" s="4"/>
      <c r="F58" s="4"/>
      <c r="G58" s="5"/>
      <c r="H58" s="6" t="n">
        <f aca="false">IF(G58=4,10,IF(G58=3,7,IF(G58=2,4,0)))</f>
        <v>0</v>
      </c>
      <c r="I58" s="6" t="n">
        <f aca="false">INDEX(Evaluaciones!$N$3:$N$17,(A58-1)*5+B58)+H58</f>
        <v>0</v>
      </c>
      <c r="J58" s="4"/>
      <c r="K58" s="4"/>
    </row>
    <row r="59" customFormat="false" ht="12.8" hidden="false" customHeight="false" outlineLevel="0" collapsed="false">
      <c r="A59" s="4" t="n">
        <v>3</v>
      </c>
      <c r="B59" s="4" t="n">
        <v>2</v>
      </c>
      <c r="C59" s="4"/>
      <c r="D59" s="4"/>
      <c r="E59" s="4"/>
      <c r="F59" s="4"/>
      <c r="G59" s="5"/>
      <c r="H59" s="6" t="n">
        <f aca="false">IF(G59=4,10,IF(G59=3,7,IF(G59=2,4,0)))</f>
        <v>0</v>
      </c>
      <c r="I59" s="6" t="n">
        <f aca="false">INDEX(Evaluaciones!$N$3:$N$17,(A59-1)*5+B59)+H59</f>
        <v>0</v>
      </c>
      <c r="J59" s="4"/>
      <c r="K59" s="4"/>
    </row>
    <row r="60" customFormat="false" ht="12.8" hidden="false" customHeight="false" outlineLevel="0" collapsed="false">
      <c r="A60" s="4" t="n">
        <v>3</v>
      </c>
      <c r="B60" s="4" t="n">
        <v>2</v>
      </c>
      <c r="C60" s="4"/>
      <c r="D60" s="4"/>
      <c r="E60" s="4"/>
      <c r="F60" s="4"/>
      <c r="G60" s="5"/>
      <c r="H60" s="6" t="n">
        <f aca="false">IF(G60=4,10,IF(G60=3,7,IF(G60=2,4,0)))</f>
        <v>0</v>
      </c>
      <c r="I60" s="6" t="n">
        <f aca="false">INDEX(Evaluaciones!$N$3:$N$17,(A60-1)*5+B60)+H60</f>
        <v>0</v>
      </c>
      <c r="J60" s="4"/>
      <c r="K60" s="4"/>
    </row>
    <row r="61" customFormat="false" ht="12.8" hidden="false" customHeight="false" outlineLevel="0" collapsed="false">
      <c r="A61" s="4" t="n">
        <v>3</v>
      </c>
      <c r="B61" s="4" t="n">
        <v>2</v>
      </c>
      <c r="C61" s="4"/>
      <c r="D61" s="4"/>
      <c r="E61" s="4"/>
      <c r="F61" s="4"/>
      <c r="G61" s="5"/>
      <c r="H61" s="6" t="n">
        <f aca="false">IF(G61=4,10,IF(G61=3,7,IF(G61=2,4,0)))</f>
        <v>0</v>
      </c>
      <c r="I61" s="6" t="n">
        <f aca="false">INDEX(Evaluaciones!$N$3:$N$17,(A61-1)*5+B61)+H61</f>
        <v>0</v>
      </c>
      <c r="J61" s="4"/>
      <c r="K61" s="4"/>
    </row>
    <row r="62" customFormat="false" ht="12.8" hidden="false" customHeight="false" outlineLevel="0" collapsed="false">
      <c r="A62" s="4" t="n">
        <v>3</v>
      </c>
      <c r="B62" s="4" t="n">
        <v>2</v>
      </c>
      <c r="C62" s="4"/>
      <c r="D62" s="4"/>
      <c r="E62" s="4"/>
      <c r="F62" s="4"/>
      <c r="G62" s="5"/>
      <c r="H62" s="6" t="n">
        <f aca="false">IF(G62=4,10,IF(G62=3,7,IF(G62=2,4,0)))</f>
        <v>0</v>
      </c>
      <c r="I62" s="6" t="n">
        <f aca="false">INDEX(Evaluaciones!$N$3:$N$17,(A62-1)*5+B62)+H62</f>
        <v>0</v>
      </c>
      <c r="J62" s="4"/>
      <c r="K62" s="4"/>
    </row>
    <row r="63" customFormat="false" ht="12.8" hidden="false" customHeight="false" outlineLevel="0" collapsed="false">
      <c r="A63" s="4" t="n">
        <v>3</v>
      </c>
      <c r="B63" s="4" t="n">
        <v>3</v>
      </c>
      <c r="C63" s="4"/>
      <c r="D63" s="4"/>
      <c r="E63" s="4"/>
      <c r="F63" s="4"/>
      <c r="G63" s="5"/>
      <c r="H63" s="6" t="n">
        <f aca="false">IF(G63=4,10,IF(G63=3,7,IF(G63=2,4,0)))</f>
        <v>0</v>
      </c>
      <c r="I63" s="6" t="n">
        <f aca="false">INDEX(Evaluaciones!$N$3:$N$17,(A63-1)*5+B63)+H63</f>
        <v>0</v>
      </c>
      <c r="J63" s="4"/>
      <c r="K63" s="4"/>
    </row>
    <row r="64" customFormat="false" ht="12.8" hidden="false" customHeight="false" outlineLevel="0" collapsed="false">
      <c r="A64" s="4" t="n">
        <v>3</v>
      </c>
      <c r="B64" s="4" t="n">
        <v>3</v>
      </c>
      <c r="C64" s="4"/>
      <c r="D64" s="4"/>
      <c r="E64" s="4"/>
      <c r="F64" s="4"/>
      <c r="G64" s="5"/>
      <c r="H64" s="6" t="n">
        <f aca="false">IF(G64=4,10,IF(G64=3,7,IF(G64=2,4,0)))</f>
        <v>0</v>
      </c>
      <c r="I64" s="6" t="n">
        <f aca="false">INDEX(Evaluaciones!$N$3:$N$17,(A64-1)*5+B64)+H64</f>
        <v>0</v>
      </c>
      <c r="J64" s="4"/>
      <c r="K64" s="4"/>
    </row>
    <row r="65" customFormat="false" ht="12.8" hidden="false" customHeight="false" outlineLevel="0" collapsed="false">
      <c r="A65" s="4" t="n">
        <v>3</v>
      </c>
      <c r="B65" s="4" t="n">
        <v>3</v>
      </c>
      <c r="C65" s="4"/>
      <c r="D65" s="4"/>
      <c r="E65" s="4"/>
      <c r="F65" s="4"/>
      <c r="G65" s="5"/>
      <c r="H65" s="6" t="n">
        <f aca="false">IF(G65=4,10,IF(G65=3,7,IF(G65=2,4,0)))</f>
        <v>0</v>
      </c>
      <c r="I65" s="6" t="n">
        <f aca="false">INDEX(Evaluaciones!$N$3:$N$17,(A65-1)*5+B65)+H65</f>
        <v>0</v>
      </c>
      <c r="J65" s="4"/>
      <c r="K65" s="4"/>
    </row>
    <row r="66" customFormat="false" ht="12.8" hidden="false" customHeight="false" outlineLevel="0" collapsed="false">
      <c r="A66" s="4" t="n">
        <v>3</v>
      </c>
      <c r="B66" s="4" t="n">
        <v>3</v>
      </c>
      <c r="C66" s="4"/>
      <c r="D66" s="4"/>
      <c r="E66" s="4"/>
      <c r="F66" s="4"/>
      <c r="G66" s="5"/>
      <c r="H66" s="6" t="n">
        <f aca="false">IF(G66=4,10,IF(G66=3,7,IF(G66=2,4,0)))</f>
        <v>0</v>
      </c>
      <c r="I66" s="6" t="n">
        <f aca="false">INDEX(Evaluaciones!$N$3:$N$17,(A66-1)*5+B66)+H66</f>
        <v>0</v>
      </c>
      <c r="J66" s="4"/>
      <c r="K66" s="4"/>
    </row>
    <row r="67" customFormat="false" ht="12.8" hidden="false" customHeight="false" outlineLevel="0" collapsed="false">
      <c r="A67" s="4" t="n">
        <v>3</v>
      </c>
      <c r="B67" s="4" t="n">
        <v>3</v>
      </c>
      <c r="C67" s="4"/>
      <c r="D67" s="4"/>
      <c r="E67" s="4"/>
      <c r="F67" s="4"/>
      <c r="G67" s="5"/>
      <c r="H67" s="6" t="n">
        <f aca="false">IF(G67=4,10,IF(G67=3,7,IF(G67=2,4,0)))</f>
        <v>0</v>
      </c>
      <c r="I67" s="6" t="n">
        <f aca="false">INDEX(Evaluaciones!$N$3:$N$17,(A67-1)*5+B67)+H67</f>
        <v>0</v>
      </c>
      <c r="J67" s="4"/>
      <c r="K67" s="4"/>
    </row>
    <row r="68" customFormat="false" ht="12.8" hidden="false" customHeight="false" outlineLevel="0" collapsed="false">
      <c r="A68" s="4" t="n">
        <v>3</v>
      </c>
      <c r="B68" s="4" t="n">
        <v>4</v>
      </c>
      <c r="C68" s="4"/>
      <c r="D68" s="4"/>
      <c r="E68" s="4"/>
      <c r="F68" s="4"/>
      <c r="G68" s="5"/>
      <c r="H68" s="6" t="n">
        <f aca="false">IF(G68=4,10,IF(G68=3,7,IF(G68=2,4,0)))</f>
        <v>0</v>
      </c>
      <c r="I68" s="6" t="n">
        <f aca="false">INDEX(Evaluaciones!$N$3:$N$17,(A68-1)*5+B68)+H68</f>
        <v>0</v>
      </c>
      <c r="J68" s="4"/>
      <c r="K68" s="4"/>
    </row>
    <row r="69" customFormat="false" ht="12.8" hidden="false" customHeight="false" outlineLevel="0" collapsed="false">
      <c r="A69" s="4" t="n">
        <v>3</v>
      </c>
      <c r="B69" s="4" t="n">
        <v>4</v>
      </c>
      <c r="C69" s="4"/>
      <c r="D69" s="4"/>
      <c r="E69" s="4"/>
      <c r="F69" s="4"/>
      <c r="G69" s="5"/>
      <c r="H69" s="6" t="n">
        <f aca="false">IF(G69=4,10,IF(G69=3,7,IF(G69=2,4,0)))</f>
        <v>0</v>
      </c>
      <c r="I69" s="6" t="n">
        <f aca="false">INDEX(Evaluaciones!$N$3:$N$17,(A69-1)*5+B69)+H69</f>
        <v>0</v>
      </c>
      <c r="J69" s="4"/>
      <c r="K69" s="4"/>
    </row>
    <row r="70" customFormat="false" ht="12.8" hidden="false" customHeight="false" outlineLevel="0" collapsed="false">
      <c r="A70" s="4" t="n">
        <v>3</v>
      </c>
      <c r="B70" s="4" t="n">
        <v>4</v>
      </c>
      <c r="C70" s="4"/>
      <c r="D70" s="4"/>
      <c r="E70" s="4"/>
      <c r="F70" s="4"/>
      <c r="G70" s="5"/>
      <c r="H70" s="6" t="n">
        <f aca="false">IF(G70=4,10,IF(G70=3,7,IF(G70=2,4,0)))</f>
        <v>0</v>
      </c>
      <c r="I70" s="6" t="n">
        <f aca="false">INDEX(Evaluaciones!$N$3:$N$17,(A70-1)*5+B70)+H70</f>
        <v>0</v>
      </c>
      <c r="J70" s="4"/>
      <c r="K70" s="4"/>
    </row>
    <row r="71" customFormat="false" ht="12.8" hidden="false" customHeight="false" outlineLevel="0" collapsed="false">
      <c r="A71" s="4" t="n">
        <v>3</v>
      </c>
      <c r="B71" s="4" t="n">
        <v>4</v>
      </c>
      <c r="C71" s="4"/>
      <c r="D71" s="4"/>
      <c r="E71" s="4"/>
      <c r="F71" s="4"/>
      <c r="G71" s="5"/>
      <c r="H71" s="6" t="n">
        <f aca="false">IF(G71=4,10,IF(G71=3,7,IF(G71=2,4,0)))</f>
        <v>0</v>
      </c>
      <c r="I71" s="6" t="n">
        <f aca="false">INDEX(Evaluaciones!$N$3:$N$17,(A71-1)*5+B71)+H71</f>
        <v>0</v>
      </c>
      <c r="J71" s="4"/>
      <c r="K71" s="4"/>
    </row>
    <row r="72" customFormat="false" ht="12.8" hidden="false" customHeight="false" outlineLevel="0" collapsed="false">
      <c r="A72" s="4" t="n">
        <v>3</v>
      </c>
      <c r="B72" s="4" t="n">
        <v>4</v>
      </c>
      <c r="C72" s="4"/>
      <c r="D72" s="4"/>
      <c r="E72" s="4"/>
      <c r="F72" s="4"/>
      <c r="G72" s="5"/>
      <c r="H72" s="6" t="n">
        <f aca="false">IF(G72=4,10,IF(G72=3,7,IF(G72=2,4,0)))</f>
        <v>0</v>
      </c>
      <c r="I72" s="6" t="n">
        <f aca="false">INDEX(Evaluaciones!$N$3:$N$17,(A72-1)*5+B72)+H72</f>
        <v>0</v>
      </c>
      <c r="J72" s="4"/>
      <c r="K72" s="4"/>
    </row>
    <row r="73" customFormat="false" ht="12.8" hidden="false" customHeight="false" outlineLevel="0" collapsed="false">
      <c r="A73" s="4" t="n">
        <v>3</v>
      </c>
      <c r="B73" s="4" t="n">
        <v>5</v>
      </c>
      <c r="C73" s="4"/>
      <c r="D73" s="4"/>
      <c r="E73" s="4"/>
      <c r="F73" s="4"/>
      <c r="G73" s="5"/>
      <c r="H73" s="6" t="n">
        <f aca="false">IF(G73=4,10,IF(G73=3,7,IF(G73=2,4,0)))</f>
        <v>0</v>
      </c>
      <c r="I73" s="6" t="n">
        <f aca="false">INDEX(Evaluaciones!$N$3:$N$17,(A73-1)*5+B73)+H73</f>
        <v>0</v>
      </c>
      <c r="J73" s="4"/>
      <c r="K73" s="4"/>
    </row>
    <row r="74" customFormat="false" ht="12.8" hidden="false" customHeight="false" outlineLevel="0" collapsed="false">
      <c r="A74" s="4" t="n">
        <v>3</v>
      </c>
      <c r="B74" s="4" t="n">
        <v>5</v>
      </c>
      <c r="C74" s="4"/>
      <c r="D74" s="4"/>
      <c r="E74" s="4"/>
      <c r="F74" s="4"/>
      <c r="G74" s="5"/>
      <c r="H74" s="6" t="n">
        <f aca="false">IF(G74=4,10,IF(G74=3,7,IF(G74=2,4,0)))</f>
        <v>0</v>
      </c>
      <c r="I74" s="6" t="n">
        <f aca="false">INDEX(Evaluaciones!$N$3:$N$17,(A74-1)*5+B74)+H74</f>
        <v>0</v>
      </c>
      <c r="J74" s="4"/>
      <c r="K74" s="4"/>
    </row>
    <row r="75" customFormat="false" ht="12.8" hidden="false" customHeight="false" outlineLevel="0" collapsed="false">
      <c r="A75" s="4" t="n">
        <v>3</v>
      </c>
      <c r="B75" s="4" t="n">
        <v>5</v>
      </c>
      <c r="C75" s="4"/>
      <c r="D75" s="4"/>
      <c r="E75" s="4"/>
      <c r="F75" s="4"/>
      <c r="G75" s="5"/>
      <c r="H75" s="6" t="n">
        <f aca="false">IF(G75=4,10,IF(G75=3,7,IF(G75=2,4,0)))</f>
        <v>0</v>
      </c>
      <c r="I75" s="6" t="n">
        <f aca="false">INDEX(Evaluaciones!$N$3:$N$17,(A75-1)*5+B75)+H75</f>
        <v>0</v>
      </c>
      <c r="J75" s="4"/>
      <c r="K75" s="4"/>
    </row>
    <row r="76" customFormat="false" ht="12.8" hidden="false" customHeight="false" outlineLevel="0" collapsed="false">
      <c r="A76" s="4" t="n">
        <v>3</v>
      </c>
      <c r="B76" s="4" t="n">
        <v>5</v>
      </c>
      <c r="C76" s="4"/>
      <c r="D76" s="4"/>
      <c r="E76" s="4"/>
      <c r="F76" s="4"/>
      <c r="G76" s="5"/>
      <c r="H76" s="6" t="n">
        <f aca="false">IF(G76=4,10,IF(G76=3,7,IF(G76=2,4,0)))</f>
        <v>0</v>
      </c>
      <c r="I76" s="6" t="n">
        <f aca="false">INDEX(Evaluaciones!$N$3:$N$17,(A76-1)*5+B76)+H76</f>
        <v>0</v>
      </c>
      <c r="J76" s="4"/>
      <c r="K76" s="4"/>
    </row>
    <row r="77" customFormat="false" ht="12.8" hidden="false" customHeight="false" outlineLevel="0" collapsed="false">
      <c r="A77" s="1" t="n">
        <v>3</v>
      </c>
      <c r="B77" s="1" t="n">
        <v>5</v>
      </c>
      <c r="G77" s="7"/>
      <c r="H77" s="8" t="n">
        <f aca="false">IF(G77=4,10,IF(G77=3,7,IF(G77=2,4,0)))</f>
        <v>0</v>
      </c>
      <c r="I77" s="8" t="n">
        <f aca="false">INDEX(Evaluaciones!$N$3:$N$17,(A77-1)*5+B77)+H77</f>
        <v>0</v>
      </c>
    </row>
  </sheetData>
  <mergeCells count="1">
    <mergeCell ref="A1:K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19"/>
    <col collapsed="false" customWidth="true" hidden="false" outlineLevel="0" max="4" min="2" style="1" width="14.3"/>
    <col collapsed="false" customWidth="true" hidden="false" outlineLevel="0" max="5" min="5" style="1" width="13.28"/>
    <col collapsed="false" customWidth="true" hidden="false" outlineLevel="0" max="6" min="6" style="1" width="40.84"/>
  </cols>
  <sheetData>
    <row r="1" customFormat="false" ht="25.5" hidden="false" customHeight="true" outlineLevel="0" collapsed="false">
      <c r="A1" s="2" t="s">
        <v>25</v>
      </c>
      <c r="B1" s="2"/>
      <c r="C1" s="2"/>
      <c r="D1" s="2"/>
      <c r="E1" s="2"/>
      <c r="F1" s="2"/>
    </row>
    <row r="3" customFormat="false" ht="26.95" hidden="false" customHeight="true" outlineLevel="0" collapsed="false">
      <c r="A3" s="3" t="s">
        <v>2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</row>
    <row r="4" customFormat="false" ht="12.8" hidden="false" customHeight="false" outlineLevel="0" collapsed="false">
      <c r="A4" s="1" t="n">
        <v>1</v>
      </c>
      <c r="B4" s="8" t="n">
        <f aca="false">Evaluaciones!N3</f>
        <v>0</v>
      </c>
      <c r="C4" s="8" t="n">
        <f aca="false">Evaluaciones!N8</f>
        <v>0</v>
      </c>
      <c r="D4" s="8" t="n">
        <f aca="false">Evaluaciones!N13</f>
        <v>0</v>
      </c>
      <c r="E4" s="8" t="n">
        <f aca="false">AVERAGE(B4:D4)</f>
        <v>0</v>
      </c>
    </row>
    <row r="5" customFormat="false" ht="12.8" hidden="false" customHeight="false" outlineLevel="0" collapsed="false">
      <c r="A5" s="1" t="n">
        <v>2</v>
      </c>
      <c r="B5" s="8" t="n">
        <f aca="false">Evaluaciones!N4</f>
        <v>0</v>
      </c>
      <c r="C5" s="8" t="n">
        <f aca="false">Evaluaciones!N9</f>
        <v>0</v>
      </c>
      <c r="D5" s="8" t="n">
        <f aca="false">Evaluaciones!N14</f>
        <v>0</v>
      </c>
      <c r="E5" s="8" t="n">
        <f aca="false">AVERAGE(B5:D5)</f>
        <v>0</v>
      </c>
    </row>
    <row r="6" customFormat="false" ht="12.8" hidden="false" customHeight="false" outlineLevel="0" collapsed="false">
      <c r="A6" s="1" t="n">
        <v>3</v>
      </c>
      <c r="B6" s="8" t="n">
        <f aca="false">Evaluaciones!N5</f>
        <v>0</v>
      </c>
      <c r="C6" s="8" t="n">
        <f aca="false">Evaluaciones!N10</f>
        <v>0</v>
      </c>
      <c r="D6" s="8" t="n">
        <f aca="false">Evaluaciones!N15</f>
        <v>0</v>
      </c>
      <c r="E6" s="8" t="n">
        <f aca="false">AVERAGE(B6:D6)</f>
        <v>0</v>
      </c>
    </row>
    <row r="7" customFormat="false" ht="12.8" hidden="false" customHeight="false" outlineLevel="0" collapsed="false">
      <c r="A7" s="1" t="n">
        <v>4</v>
      </c>
      <c r="B7" s="8" t="n">
        <f aca="false">Evaluaciones!N6</f>
        <v>0</v>
      </c>
      <c r="C7" s="8" t="n">
        <f aca="false">Evaluaciones!N11</f>
        <v>0</v>
      </c>
      <c r="D7" s="8" t="n">
        <f aca="false">Evaluaciones!N16</f>
        <v>0</v>
      </c>
      <c r="E7" s="8" t="n">
        <f aca="false">AVERAGE(B7:D7)</f>
        <v>0</v>
      </c>
    </row>
    <row r="8" customFormat="false" ht="12.8" hidden="false" customHeight="false" outlineLevel="0" collapsed="false">
      <c r="A8" s="1" t="n">
        <v>5</v>
      </c>
      <c r="B8" s="8" t="n">
        <f aca="false">Evaluaciones!N7</f>
        <v>0</v>
      </c>
      <c r="C8" s="8" t="n">
        <f aca="false">Evaluaciones!N12</f>
        <v>0</v>
      </c>
      <c r="D8" s="8" t="n">
        <f aca="false">Evaluaciones!N17</f>
        <v>0</v>
      </c>
      <c r="E8" s="8" t="n">
        <f aca="false">AVERAGE(B8:D8)</f>
        <v>0</v>
      </c>
    </row>
    <row r="11" customFormat="false" ht="12.8" hidden="false" customHeight="false" outlineLevel="0" collapsed="false">
      <c r="A11" s="9" t="s">
        <v>31</v>
      </c>
      <c r="B11" s="10" t="s">
        <v>32</v>
      </c>
      <c r="C11" s="10"/>
      <c r="D11" s="10"/>
      <c r="E11" s="10"/>
      <c r="F11" s="10"/>
    </row>
  </sheetData>
  <mergeCells count="2">
    <mergeCell ref="A1:F1"/>
    <mergeCell ref="B11:F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19"/>
    <col collapsed="false" customWidth="true" hidden="false" outlineLevel="0" max="2" min="2" style="1" width="33.2"/>
    <col collapsed="false" customWidth="true" hidden="false" outlineLevel="0" max="3" min="3" style="1" width="12.26"/>
    <col collapsed="false" customWidth="true" hidden="false" outlineLevel="0" max="4" min="4" style="1" width="8.17"/>
    <col collapsed="false" customWidth="true" hidden="false" outlineLevel="0" max="5" min="5" style="1" width="45.96"/>
  </cols>
  <sheetData>
    <row r="1" customFormat="false" ht="25.5" hidden="false" customHeight="true" outlineLevel="0" collapsed="false">
      <c r="A1" s="2" t="s">
        <v>33</v>
      </c>
      <c r="B1" s="2"/>
      <c r="C1" s="2"/>
      <c r="D1" s="2"/>
      <c r="E1" s="2"/>
    </row>
    <row r="3" customFormat="false" ht="26.95" hidden="false" customHeight="true" outlineLevel="0" collapsed="false">
      <c r="A3" s="3" t="s">
        <v>34</v>
      </c>
      <c r="B3" s="3" t="s">
        <v>35</v>
      </c>
      <c r="C3" s="3" t="s">
        <v>36</v>
      </c>
      <c r="D3" s="3" t="s">
        <v>37</v>
      </c>
      <c r="E3" s="3" t="s">
        <v>38</v>
      </c>
    </row>
    <row r="4" customFormat="false" ht="12.8" hidden="false" customHeight="false" outlineLevel="0" collapsed="false">
      <c r="A4" s="1" t="s">
        <v>39</v>
      </c>
      <c r="B4" s="1" t="s">
        <v>40</v>
      </c>
      <c r="C4" s="1" t="s">
        <v>41</v>
      </c>
      <c r="D4" s="1" t="n">
        <v>10</v>
      </c>
      <c r="E4" s="1" t="s">
        <v>42</v>
      </c>
    </row>
    <row r="5" customFormat="false" ht="12.8" hidden="false" customHeight="false" outlineLevel="0" collapsed="false">
      <c r="A5" s="1" t="s">
        <v>43</v>
      </c>
      <c r="B5" s="1" t="s">
        <v>44</v>
      </c>
      <c r="C5" s="1" t="s">
        <v>41</v>
      </c>
      <c r="D5" s="1" t="n">
        <v>15</v>
      </c>
      <c r="E5" s="1" t="s">
        <v>45</v>
      </c>
    </row>
    <row r="6" customFormat="false" ht="12.8" hidden="false" customHeight="false" outlineLevel="0" collapsed="false">
      <c r="A6" s="1" t="s">
        <v>46</v>
      </c>
      <c r="B6" s="1" t="s">
        <v>47</v>
      </c>
      <c r="C6" s="1" t="s">
        <v>41</v>
      </c>
      <c r="D6" s="1" t="n">
        <v>20</v>
      </c>
      <c r="E6" s="1" t="s">
        <v>48</v>
      </c>
    </row>
    <row r="7" customFormat="false" ht="12.8" hidden="false" customHeight="false" outlineLevel="0" collapsed="false">
      <c r="A7" s="1" t="s">
        <v>49</v>
      </c>
      <c r="B7" s="1" t="s">
        <v>50</v>
      </c>
      <c r="C7" s="1" t="s">
        <v>41</v>
      </c>
      <c r="D7" s="1" t="n">
        <v>10</v>
      </c>
      <c r="E7" s="1" t="s">
        <v>51</v>
      </c>
    </row>
    <row r="8" customFormat="false" ht="12.8" hidden="false" customHeight="false" outlineLevel="0" collapsed="false">
      <c r="A8" s="1" t="s">
        <v>52</v>
      </c>
      <c r="B8" s="1" t="s">
        <v>53</v>
      </c>
      <c r="C8" s="1" t="s">
        <v>41</v>
      </c>
      <c r="D8" s="1" t="n">
        <v>15</v>
      </c>
      <c r="E8" s="1" t="s">
        <v>54</v>
      </c>
    </row>
    <row r="9" customFormat="false" ht="12.8" hidden="false" customHeight="false" outlineLevel="0" collapsed="false">
      <c r="A9" s="1" t="s">
        <v>55</v>
      </c>
      <c r="B9" s="1" t="s">
        <v>56</v>
      </c>
      <c r="C9" s="1" t="s">
        <v>41</v>
      </c>
      <c r="D9" s="1" t="n">
        <v>10</v>
      </c>
      <c r="E9" s="1" t="s">
        <v>57</v>
      </c>
    </row>
    <row r="10" customFormat="false" ht="12.8" hidden="false" customHeight="false" outlineLevel="0" collapsed="false">
      <c r="A10" s="1" t="s">
        <v>58</v>
      </c>
      <c r="B10" s="1" t="s">
        <v>59</v>
      </c>
      <c r="C10" s="1" t="s">
        <v>41</v>
      </c>
      <c r="D10" s="1" t="n">
        <v>10</v>
      </c>
      <c r="E10" s="1" t="s">
        <v>60</v>
      </c>
    </row>
    <row r="11" customFormat="false" ht="12.8" hidden="false" customHeight="false" outlineLevel="0" collapsed="false">
      <c r="A11" s="1" t="s">
        <v>61</v>
      </c>
      <c r="B11" s="1" t="s">
        <v>62</v>
      </c>
      <c r="C11" s="1" t="s">
        <v>63</v>
      </c>
      <c r="D11" s="1" t="n">
        <v>10</v>
      </c>
      <c r="E11" s="1" t="s">
        <v>64</v>
      </c>
    </row>
    <row r="14" customFormat="false" ht="26.95" hidden="false" customHeight="true" outlineLevel="0" collapsed="false">
      <c r="A14" s="3" t="s">
        <v>65</v>
      </c>
      <c r="B14" s="3" t="s">
        <v>66</v>
      </c>
      <c r="C14" s="3" t="s">
        <v>67</v>
      </c>
      <c r="D14" s="3"/>
      <c r="E14" s="3"/>
    </row>
    <row r="15" customFormat="false" ht="12.8" hidden="false" customHeight="false" outlineLevel="0" collapsed="false">
      <c r="A15" s="1" t="n">
        <v>4</v>
      </c>
      <c r="B15" s="1" t="s">
        <v>68</v>
      </c>
      <c r="C15" s="1" t="n">
        <v>1</v>
      </c>
    </row>
    <row r="16" customFormat="false" ht="12.8" hidden="false" customHeight="false" outlineLevel="0" collapsed="false">
      <c r="A16" s="1" t="n">
        <v>3</v>
      </c>
      <c r="B16" s="1" t="s">
        <v>69</v>
      </c>
      <c r="C16" s="1" t="n">
        <v>0.7</v>
      </c>
    </row>
    <row r="17" customFormat="false" ht="12.8" hidden="false" customHeight="false" outlineLevel="0" collapsed="false">
      <c r="A17" s="1" t="n">
        <v>2</v>
      </c>
      <c r="B17" s="1" t="s">
        <v>70</v>
      </c>
      <c r="C17" s="1" t="n">
        <v>0.4</v>
      </c>
    </row>
    <row r="18" customFormat="false" ht="12.8" hidden="false" customHeight="false" outlineLevel="0" collapsed="false">
      <c r="A18" s="1" t="n">
        <v>1</v>
      </c>
      <c r="B18" s="1" t="s">
        <v>71</v>
      </c>
      <c r="C18" s="1" t="n">
        <v>0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1" style="1" width="25.54"/>
  </cols>
  <sheetData>
    <row r="1" customFormat="false" ht="25.5" hidden="false" customHeight="true" outlineLevel="0" collapsed="false">
      <c r="A1" s="2" t="s">
        <v>72</v>
      </c>
      <c r="B1" s="2"/>
      <c r="C1" s="2"/>
      <c r="D1" s="2"/>
      <c r="E1" s="2"/>
    </row>
    <row r="3" customFormat="false" ht="18.45" hidden="false" customHeight="true" outlineLevel="0" collapsed="false">
      <c r="A3" s="11" t="s">
        <v>73</v>
      </c>
      <c r="B3" s="11"/>
      <c r="C3" s="11"/>
      <c r="D3" s="11"/>
      <c r="E3" s="11"/>
    </row>
    <row r="4" customFormat="false" ht="18.45" hidden="false" customHeight="true" outlineLevel="0" collapsed="false">
      <c r="A4" s="11" t="s">
        <v>74</v>
      </c>
      <c r="B4" s="11"/>
      <c r="C4" s="11"/>
      <c r="D4" s="11"/>
      <c r="E4" s="11"/>
    </row>
    <row r="5" customFormat="false" ht="18.45" hidden="false" customHeight="true" outlineLevel="0" collapsed="false">
      <c r="A5" s="11" t="s">
        <v>75</v>
      </c>
      <c r="B5" s="11"/>
      <c r="C5" s="11"/>
      <c r="D5" s="11"/>
      <c r="E5" s="11"/>
    </row>
    <row r="6" customFormat="false" ht="18.45" hidden="false" customHeight="true" outlineLevel="0" collapsed="false">
      <c r="A6" s="11" t="s">
        <v>76</v>
      </c>
      <c r="B6" s="11"/>
      <c r="C6" s="11"/>
      <c r="D6" s="11"/>
      <c r="E6" s="11"/>
    </row>
    <row r="7" customFormat="false" ht="18.45" hidden="false" customHeight="true" outlineLevel="0" collapsed="false">
      <c r="A7" s="11" t="s">
        <v>77</v>
      </c>
      <c r="B7" s="11"/>
      <c r="C7" s="11"/>
      <c r="D7" s="11"/>
      <c r="E7" s="11"/>
    </row>
    <row r="8" customFormat="false" ht="18.45" hidden="false" customHeight="true" outlineLevel="0" collapsed="false">
      <c r="A8" s="11" t="s">
        <v>78</v>
      </c>
      <c r="B8" s="11"/>
      <c r="C8" s="11"/>
      <c r="D8" s="11"/>
      <c r="E8" s="11"/>
    </row>
    <row r="9" customFormat="false" ht="18.45" hidden="false" customHeight="true" outlineLevel="0" collapsed="false">
      <c r="A9" s="11" t="s">
        <v>79</v>
      </c>
      <c r="B9" s="11"/>
      <c r="C9" s="11"/>
      <c r="D9" s="11"/>
      <c r="E9" s="11"/>
    </row>
    <row r="10" customFormat="false" ht="18.45" hidden="false" customHeight="true" outlineLevel="0" collapsed="false">
      <c r="A10" s="11" t="s">
        <v>80</v>
      </c>
      <c r="B10" s="11"/>
      <c r="C10" s="11"/>
      <c r="D10" s="11"/>
      <c r="E10" s="11"/>
    </row>
    <row r="11" customFormat="false" ht="18.45" hidden="false" customHeight="true" outlineLevel="0" collapsed="false">
      <c r="A11" s="11" t="s">
        <v>81</v>
      </c>
      <c r="B11" s="11"/>
      <c r="C11" s="11"/>
      <c r="D11" s="11"/>
      <c r="E11" s="11"/>
    </row>
    <row r="14" customFormat="false" ht="12.8" hidden="false" customHeight="false" outlineLevel="0" collapsed="false">
      <c r="A14" s="12" t="s">
        <v>82</v>
      </c>
      <c r="B14" s="12"/>
      <c r="C14" s="12"/>
      <c r="D14" s="12"/>
      <c r="E14" s="12"/>
    </row>
  </sheetData>
  <mergeCells count="11">
    <mergeCell ref="A1:E1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4:E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2026-08-25T10:08:50Z</dcterms:created>
  <dc:creator/>
  <dc:description/>
  <dc:language>en-US</dc:language>
  <cp:lastModifiedBy/>
  <dcterms:modified xsi:type="dcterms:W3CDTF">2026-08-25T11:38:28Z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